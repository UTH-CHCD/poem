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wozny\Downloads\"/>
    </mc:Choice>
  </mc:AlternateContent>
  <xr:revisionPtr revIDLastSave="0" documentId="13_ncr:1_{91095810-27CE-47AD-B59D-914014195791}" xr6:coauthVersionLast="47" xr6:coauthVersionMax="47" xr10:uidLastSave="{00000000-0000-0000-0000-000000000000}"/>
  <bookViews>
    <workbookView xWindow="34560" yWindow="1905" windowWidth="20880" windowHeight="13290" xr2:uid="{00000000-000D-0000-FFFF-FFFF00000000}"/>
  </bookViews>
  <sheets>
    <sheet name="Caseload by RG" sheetId="5" r:id="rId1"/>
  </sheets>
  <definedNames>
    <definedName name="Aged_and_Medicare_Related">'Caseload by RG'!$C$4:$C$131</definedName>
    <definedName name="Breast_and_Cervical_Cancer">'Caseload by RG'!$G$4:$G$131</definedName>
    <definedName name="Childrens_Medicaid">'Caseload by RG'!$H$4:$H$131</definedName>
    <definedName name="Disability_Related">'Caseload by RG'!$D$4:$D$131</definedName>
    <definedName name="Incomplete_Data">'Caseload by RG'!$A$4:$M$9</definedName>
    <definedName name="Medicaid_Caseload">'Caseload by RG'!$B$4:$B$131</definedName>
    <definedName name="Medicaid_Clients_21_and_Older">'Caseload by RG'!$J$4:$J$131</definedName>
    <definedName name="Medicaid_Clients_Under_21">'Caseload by RG'!$I$4:$I$131</definedName>
    <definedName name="Notes">'Caseload by RG'!$A$135:$A$140</definedName>
    <definedName name="Parents">'Caseload by RG'!$E$4:$E$131</definedName>
    <definedName name="Pregnant_Women">'Caseload by RG'!$F$4:$F$131</definedName>
    <definedName name="_xlnm.Print_Area" localSheetId="0">'Caseload by RG'!$A$1:$M$140</definedName>
    <definedName name="Regular_CHIP">'Caseload by RG'!$L$4:$L$131</definedName>
    <definedName name="Total_CHIP_and_Childrens_Medicaid">'Caseload by RG'!$M$4:$M$131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" i="5" l="1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23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23" i="5"/>
  <c r="P23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2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2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4" i="5"/>
</calcChain>
</file>

<file path=xl/sharedStrings.xml><?xml version="1.0" encoding="utf-8"?>
<sst xmlns="http://schemas.openxmlformats.org/spreadsheetml/2006/main" count="24" uniqueCount="23">
  <si>
    <t>Medicaid Caseload</t>
  </si>
  <si>
    <t>Disability-Related</t>
  </si>
  <si>
    <t>Caseload by Risk Group</t>
  </si>
  <si>
    <t>Breast and Cervical Cancer</t>
  </si>
  <si>
    <t>Parents*</t>
  </si>
  <si>
    <t>Medicaid Clients 21 and Older</t>
  </si>
  <si>
    <t>Aged &amp; Medicare-Related</t>
  </si>
  <si>
    <t>Children's Medicaid and CHIP</t>
  </si>
  <si>
    <t>Caseload by Age</t>
  </si>
  <si>
    <t>Total</t>
  </si>
  <si>
    <t>Regular CHIP</t>
  </si>
  <si>
    <t>*Parents includes TANF Adults and Medically Needy</t>
  </si>
  <si>
    <t>Highlighted monthly caseloads are incomplete and will change</t>
  </si>
  <si>
    <t>Texas Medicaid and CHIP Monthly Full Benefit Caseload By Risk Group</t>
  </si>
  <si>
    <t>Month</t>
  </si>
  <si>
    <t>Source: PPS Data</t>
  </si>
  <si>
    <t>Children's Medicaid**</t>
  </si>
  <si>
    <t>Medicaid Clients Under 21***</t>
  </si>
  <si>
    <t>Notes</t>
  </si>
  <si>
    <t>**Children's Medicaid includes STAR Health</t>
  </si>
  <si>
    <t>***Medicaid Clients Under 21 includes all full benefit Medicaid clients under 21 (including Medicare-related, Disability, and Pregnant Women)</t>
  </si>
  <si>
    <t>Pregnant Women</t>
  </si>
  <si>
    <t>HHS CFO Forecasting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</si>
</sst>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i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9">
    <xf numFmtId="0" fontId="0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  <xf numFmtId="0" fontId="5" fillId="0" borderId="0"/>
    <xf numFmtId="0" fontId="6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0" xfId="0"/>
    <xf numFmtId="0" fontId="2" fillId="0" borderId="0" xfId="1"/>
    <xf numFmtId="0" fontId="2" fillId="0" borderId="8" xfId="1" applyBorder="1"/>
    <xf numFmtId="0" fontId="2" fillId="0" borderId="0" xfId="1" applyFill="1" applyBorder="1"/>
    <xf numFmtId="0" fontId="2" fillId="0" borderId="17" xfId="1" applyFill="1" applyBorder="1"/>
    <xf numFmtId="0" fontId="2" fillId="0" borderId="15" xfId="1" applyFill="1" applyBorder="1"/>
    <xf numFmtId="0" fontId="2" fillId="0" borderId="16" xfId="1" applyFill="1" applyBorder="1"/>
    <xf numFmtId="0" fontId="2" fillId="0" borderId="0" xfId="1" applyFill="1"/>
    <xf numFmtId="17" fontId="9" fillId="0" borderId="8" xfId="1" applyNumberFormat="1" applyFont="1" applyBorder="1"/>
    <xf numFmtId="3" fontId="9" fillId="2" borderId="4" xfId="1" applyNumberFormat="1" applyFont="1" applyFill="1" applyBorder="1"/>
    <xf numFmtId="3" fontId="9" fillId="0" borderId="0" xfId="1" applyNumberFormat="1" applyFont="1" applyFill="1" applyBorder="1"/>
    <xf numFmtId="3" fontId="9" fillId="2" borderId="8" xfId="1" applyNumberFormat="1" applyFont="1" applyFill="1" applyBorder="1"/>
    <xf numFmtId="3" fontId="9" fillId="2" borderId="9" xfId="1" applyNumberFormat="1" applyFont="1" applyFill="1" applyBorder="1"/>
    <xf numFmtId="3" fontId="9" fillId="2" borderId="12" xfId="1" applyNumberFormat="1" applyFont="1" applyFill="1" applyBorder="1"/>
    <xf numFmtId="3" fontId="9" fillId="2" borderId="5" xfId="1" applyNumberFormat="1" applyFont="1" applyFill="1" applyBorder="1"/>
    <xf numFmtId="3" fontId="9" fillId="0" borderId="4" xfId="1" applyNumberFormat="1" applyFont="1" applyFill="1" applyBorder="1"/>
    <xf numFmtId="3" fontId="9" fillId="0" borderId="8" xfId="1" applyNumberFormat="1" applyFont="1" applyFill="1" applyBorder="1"/>
    <xf numFmtId="3" fontId="9" fillId="0" borderId="9" xfId="1" applyNumberFormat="1" applyFont="1" applyFill="1" applyBorder="1"/>
    <xf numFmtId="3" fontId="9" fillId="0" borderId="12" xfId="1" applyNumberFormat="1" applyFont="1" applyFill="1" applyBorder="1"/>
    <xf numFmtId="3" fontId="9" fillId="0" borderId="5" xfId="1" applyNumberFormat="1" applyFont="1" applyFill="1" applyBorder="1"/>
    <xf numFmtId="3" fontId="9" fillId="0" borderId="6" xfId="1" applyNumberFormat="1" applyFont="1" applyFill="1" applyBorder="1"/>
    <xf numFmtId="3" fontId="9" fillId="0" borderId="10" xfId="1" applyNumberFormat="1" applyFont="1" applyFill="1" applyBorder="1"/>
    <xf numFmtId="3" fontId="9" fillId="0" borderId="11" xfId="1" applyNumberFormat="1" applyFont="1" applyFill="1" applyBorder="1"/>
    <xf numFmtId="3" fontId="9" fillId="0" borderId="13" xfId="1" applyNumberFormat="1" applyFont="1" applyFill="1" applyBorder="1"/>
    <xf numFmtId="3" fontId="9" fillId="0" borderId="7" xfId="1" applyNumberFormat="1" applyFont="1" applyFill="1" applyBorder="1"/>
    <xf numFmtId="0" fontId="14" fillId="0" borderId="8" xfId="1" applyFont="1" applyBorder="1"/>
    <xf numFmtId="0" fontId="15" fillId="0" borderId="8" xfId="1" applyFont="1" applyBorder="1"/>
    <xf numFmtId="0" fontId="15" fillId="0" borderId="14" xfId="1" applyFont="1" applyBorder="1"/>
    <xf numFmtId="0" fontId="2" fillId="0" borderId="0" xfId="1" applyFont="1" applyFill="1" applyBorder="1"/>
    <xf numFmtId="0" fontId="2" fillId="0" borderId="15" xfId="1" applyFont="1" applyFill="1" applyBorder="1"/>
    <xf numFmtId="0" fontId="2" fillId="0" borderId="0" xfId="1" applyFont="1" applyFill="1"/>
    <xf numFmtId="164" fontId="9" fillId="2" borderId="8" xfId="18" applyNumberFormat="1" applyFont="1" applyFill="1" applyBorder="1"/>
    <xf numFmtId="3" fontId="9" fillId="2" borderId="0" xfId="1" applyNumberFormat="1" applyFont="1" applyFill="1" applyBorder="1"/>
    <xf numFmtId="3" fontId="9" fillId="2" borderId="17" xfId="1" applyNumberFormat="1" applyFont="1" applyFill="1" applyBorder="1"/>
    <xf numFmtId="164" fontId="9" fillId="0" borderId="8" xfId="18" applyNumberFormat="1" applyFont="1" applyFill="1" applyBorder="1"/>
    <xf numFmtId="3" fontId="9" fillId="0" borderId="17" xfId="1" applyNumberFormat="1" applyFont="1" applyFill="1" applyBorder="1"/>
    <xf numFmtId="164" fontId="9" fillId="0" borderId="10" xfId="18" applyNumberFormat="1" applyFont="1" applyFill="1" applyBorder="1"/>
    <xf numFmtId="3" fontId="9" fillId="0" borderId="18" xfId="1" applyNumberFormat="1" applyFont="1" applyFill="1" applyBorder="1"/>
    <xf numFmtId="3" fontId="9" fillId="0" borderId="19" xfId="1" applyNumberFormat="1" applyFont="1" applyFill="1" applyBorder="1"/>
    <xf numFmtId="17" fontId="9" fillId="0" borderId="6" xfId="1" applyNumberFormat="1" applyFont="1" applyBorder="1"/>
    <xf numFmtId="17" fontId="9" fillId="2" borderId="4" xfId="1" applyNumberFormat="1" applyFont="1" applyFill="1" applyBorder="1"/>
    <xf numFmtId="17" fontId="9" fillId="0" borderId="10" xfId="1" applyNumberFormat="1" applyFont="1" applyBorder="1"/>
    <xf numFmtId="17" fontId="9" fillId="0" borderId="8" xfId="1" applyNumberFormat="1" applyFont="1" applyFill="1" applyBorder="1"/>
    <xf numFmtId="17" fontId="9" fillId="0" borderId="4" xfId="1" applyNumberFormat="1" applyFont="1" applyFill="1" applyBorder="1"/>
    <xf numFmtId="43" fontId="2" fillId="0" borderId="0" xfId="18" applyFont="1" applyFill="1"/>
    <xf numFmtId="164" fontId="2" fillId="0" borderId="0" xfId="18" applyNumberFormat="1" applyFont="1" applyFill="1"/>
    <xf numFmtId="17" fontId="9" fillId="0" borderId="6" xfId="1" applyNumberFormat="1" applyFont="1" applyFill="1" applyBorder="1"/>
    <xf numFmtId="164" fontId="9" fillId="0" borderId="0" xfId="18" applyNumberFormat="1" applyFont="1" applyFill="1" applyBorder="1"/>
    <xf numFmtId="164" fontId="9" fillId="0" borderId="18" xfId="18" applyNumberFormat="1" applyFont="1" applyFill="1" applyBorder="1"/>
    <xf numFmtId="0" fontId="11" fillId="0" borderId="20" xfId="1" applyFont="1" applyFill="1" applyBorder="1" applyAlignment="1">
      <alignment horizontal="center" wrapText="1"/>
    </xf>
    <xf numFmtId="0" fontId="12" fillId="0" borderId="21" xfId="1" applyFont="1" applyFill="1" applyBorder="1" applyAlignment="1">
      <alignment horizontal="center" wrapText="1"/>
    </xf>
    <xf numFmtId="0" fontId="12" fillId="0" borderId="22" xfId="1" applyFont="1" applyFill="1" applyBorder="1" applyAlignment="1">
      <alignment horizontal="center" wrapText="1"/>
    </xf>
    <xf numFmtId="0" fontId="12" fillId="0" borderId="23" xfId="1" applyFont="1" applyFill="1" applyBorder="1" applyAlignment="1">
      <alignment horizontal="center" wrapText="1"/>
    </xf>
    <xf numFmtId="0" fontId="13" fillId="0" borderId="21" xfId="1" applyFont="1" applyFill="1" applyBorder="1" applyAlignment="1">
      <alignment horizontal="center" wrapText="1"/>
    </xf>
    <xf numFmtId="3" fontId="9" fillId="0" borderId="26" xfId="1" applyNumberFormat="1" applyFont="1" applyFill="1" applyBorder="1"/>
    <xf numFmtId="164" fontId="9" fillId="0" borderId="25" xfId="18" applyNumberFormat="1" applyFont="1" applyFill="1" applyBorder="1"/>
    <xf numFmtId="3" fontId="9" fillId="0" borderId="25" xfId="1" applyNumberFormat="1" applyFont="1" applyFill="1" applyBorder="1"/>
    <xf numFmtId="3" fontId="9" fillId="0" borderId="24" xfId="1" applyNumberFormat="1" applyFont="1" applyFill="1" applyBorder="1"/>
    <xf numFmtId="3" fontId="9" fillId="0" borderId="27" xfId="1" applyNumberFormat="1" applyFont="1" applyFill="1" applyBorder="1"/>
    <xf numFmtId="3" fontId="9" fillId="0" borderId="28" xfId="1" applyNumberFormat="1" applyFont="1" applyFill="1" applyBorder="1"/>
    <xf numFmtId="3" fontId="9" fillId="0" borderId="29" xfId="1" applyNumberFormat="1" applyFont="1" applyFill="1" applyBorder="1"/>
    <xf numFmtId="0" fontId="2" fillId="0" borderId="0" xfId="1" applyBorder="1"/>
    <xf numFmtId="17" fontId="9" fillId="0" borderId="10" xfId="1" applyNumberFormat="1" applyFont="1" applyFill="1" applyBorder="1"/>
    <xf numFmtId="17" fontId="9" fillId="0" borderId="30" xfId="1" applyNumberFormat="1" applyFont="1" applyFill="1" applyBorder="1"/>
    <xf numFmtId="17" fontId="9" fillId="0" borderId="31" xfId="1" applyNumberFormat="1" applyFont="1" applyBorder="1"/>
    <xf numFmtId="3" fontId="9" fillId="0" borderId="31" xfId="1" applyNumberFormat="1" applyFont="1" applyFill="1" applyBorder="1"/>
    <xf numFmtId="164" fontId="9" fillId="0" borderId="14" xfId="18" applyNumberFormat="1" applyFont="1" applyFill="1" applyBorder="1"/>
    <xf numFmtId="3" fontId="9" fillId="0" borderId="15" xfId="1" applyNumberFormat="1" applyFont="1" applyFill="1" applyBorder="1"/>
    <xf numFmtId="3" fontId="9" fillId="0" borderId="16" xfId="1" applyNumberFormat="1" applyFont="1" applyFill="1" applyBorder="1"/>
    <xf numFmtId="3" fontId="9" fillId="0" borderId="14" xfId="1" applyNumberFormat="1" applyFont="1" applyFill="1" applyBorder="1"/>
    <xf numFmtId="3" fontId="9" fillId="0" borderId="32" xfId="1" applyNumberFormat="1" applyFont="1" applyFill="1" applyBorder="1"/>
    <xf numFmtId="3" fontId="9" fillId="0" borderId="33" xfId="1" applyNumberFormat="1" applyFont="1" applyFill="1" applyBorder="1"/>
    <xf numFmtId="3" fontId="9" fillId="0" borderId="34" xfId="1" applyNumberFormat="1" applyFont="1" applyFill="1" applyBorder="1"/>
    <xf numFmtId="0" fontId="7" fillId="0" borderId="0" xfId="1" applyFont="1" applyFill="1" applyAlignment="1">
      <alignment horizontal="right"/>
    </xf>
    <xf numFmtId="0" fontId="8" fillId="0" borderId="0" xfId="1" applyFont="1" applyFill="1"/>
    <xf numFmtId="43" fontId="2" fillId="0" borderId="0" xfId="18" applyFont="1" applyFill="1" applyBorder="1"/>
    <xf numFmtId="43" fontId="2" fillId="0" borderId="8" xfId="18" applyFont="1" applyFill="1" applyBorder="1"/>
    <xf numFmtId="3" fontId="2" fillId="0" borderId="0" xfId="1" applyNumberFormat="1" applyFill="1"/>
    <xf numFmtId="0" fontId="2" fillId="0" borderId="0" xfId="1" applyAlignment="1"/>
    <xf numFmtId="0" fontId="10" fillId="3" borderId="0" xfId="1" applyFont="1" applyFill="1" applyBorder="1" applyAlignment="1">
      <alignment horizontal="center" wrapText="1"/>
    </xf>
    <xf numFmtId="0" fontId="11" fillId="0" borderId="0" xfId="1" applyFont="1" applyFill="1" applyBorder="1" applyAlignment="1">
      <alignment horizontal="center" vertical="center" wrapText="1"/>
    </xf>
    <xf numFmtId="0" fontId="12" fillId="0" borderId="0" xfId="1" applyFont="1" applyFill="1" applyBorder="1" applyAlignment="1">
      <alignment horizontal="center" wrapText="1"/>
    </xf>
    <xf numFmtId="43" fontId="2" fillId="4" borderId="0" xfId="18" applyFont="1" applyFill="1" applyBorder="1"/>
    <xf numFmtId="0" fontId="11" fillId="0" borderId="1" xfId="1" applyFont="1" applyFill="1" applyBorder="1" applyAlignment="1">
      <alignment horizontal="center" vertical="center" wrapText="1"/>
    </xf>
    <xf numFmtId="0" fontId="11" fillId="0" borderId="2" xfId="1" applyFont="1" applyFill="1" applyBorder="1" applyAlignment="1">
      <alignment horizontal="center" vertical="center" wrapText="1"/>
    </xf>
    <xf numFmtId="0" fontId="11" fillId="0" borderId="3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wrapText="1"/>
    </xf>
    <xf numFmtId="0" fontId="10" fillId="3" borderId="2" xfId="1" applyFont="1" applyFill="1" applyBorder="1" applyAlignment="1">
      <alignment horizontal="center" wrapText="1"/>
    </xf>
    <xf numFmtId="0" fontId="10" fillId="3" borderId="3" xfId="1" applyFont="1" applyFill="1" applyBorder="1" applyAlignment="1">
      <alignment horizontal="center" wrapText="1"/>
    </xf>
    <xf numFmtId="0" fontId="11" fillId="0" borderId="1" xfId="1" applyFont="1" applyFill="1" applyBorder="1" applyAlignment="1">
      <alignment horizontal="center" vertical="center"/>
    </xf>
    <xf numFmtId="0" fontId="11" fillId="0" borderId="3" xfId="1" applyFont="1" applyFill="1" applyBorder="1" applyAlignment="1">
      <alignment horizontal="center" vertical="center"/>
    </xf>
    <xf numFmtId="0" fontId="12" fillId="4" borderId="22" xfId="1" applyFont="1" applyFill="1" applyBorder="1" applyAlignment="1">
      <alignment horizontal="center" wrapText="1"/>
    </xf>
    <xf numFmtId="3" fontId="9" fillId="4" borderId="0" xfId="1" applyNumberFormat="1" applyFont="1" applyFill="1" applyBorder="1"/>
    <xf numFmtId="3" fontId="9" fillId="4" borderId="18" xfId="1" applyNumberFormat="1" applyFont="1" applyFill="1" applyBorder="1"/>
    <xf numFmtId="3" fontId="9" fillId="4" borderId="25" xfId="1" applyNumberFormat="1" applyFont="1" applyFill="1" applyBorder="1"/>
    <xf numFmtId="3" fontId="9" fillId="4" borderId="15" xfId="1" applyNumberFormat="1" applyFont="1" applyFill="1" applyBorder="1"/>
    <xf numFmtId="0" fontId="2" fillId="4" borderId="0" xfId="1" applyFill="1" applyBorder="1"/>
    <xf numFmtId="0" fontId="2" fillId="4" borderId="15" xfId="1" applyFill="1" applyBorder="1"/>
    <xf numFmtId="0" fontId="2" fillId="4" borderId="0" xfId="1" applyFill="1"/>
  </cellXfs>
  <cellStyles count="19">
    <cellStyle name="Comma" xfId="18" builtinId="3"/>
    <cellStyle name="Comma 2" xfId="2" xr:uid="{00000000-0005-0000-0000-000001000000}"/>
    <cellStyle name="Comma 2 2" xfId="3" xr:uid="{00000000-0005-0000-0000-000002000000}"/>
    <cellStyle name="Comma 3" xfId="4" xr:uid="{00000000-0005-0000-0000-000003000000}"/>
    <cellStyle name="Comma 4" xfId="5" xr:uid="{00000000-0005-0000-0000-000004000000}"/>
    <cellStyle name="Currency 2" xfId="6" xr:uid="{00000000-0005-0000-0000-000005000000}"/>
    <cellStyle name="Currency 2 2" xfId="7" xr:uid="{00000000-0005-0000-0000-000006000000}"/>
    <cellStyle name="Currency 3" xfId="8" xr:uid="{00000000-0005-0000-0000-000007000000}"/>
    <cellStyle name="Normal" xfId="0" builtinId="0"/>
    <cellStyle name="Normal 2" xfId="9" xr:uid="{00000000-0005-0000-0000-000009000000}"/>
    <cellStyle name="Normal 3" xfId="1" xr:uid="{00000000-0005-0000-0000-00000A000000}"/>
    <cellStyle name="Normal 4" xfId="10" xr:uid="{00000000-0005-0000-0000-00000B000000}"/>
    <cellStyle name="Normal 5" xfId="11" xr:uid="{00000000-0005-0000-0000-00000C000000}"/>
    <cellStyle name="Normal 6" xfId="12" xr:uid="{00000000-0005-0000-0000-00000D000000}"/>
    <cellStyle name="Normal 7" xfId="13" xr:uid="{00000000-0005-0000-0000-00000E000000}"/>
    <cellStyle name="Percent 2" xfId="14" xr:uid="{00000000-0005-0000-0000-00000F000000}"/>
    <cellStyle name="Percent 2 2" xfId="15" xr:uid="{00000000-0005-0000-0000-000010000000}"/>
    <cellStyle name="Percent 3" xfId="16" xr:uid="{00000000-0005-0000-0000-000011000000}"/>
    <cellStyle name="Percent 4" xfId="17" xr:uid="{00000000-0005-0000-0000-000012000000}"/>
  </cellStyles>
  <dxfs count="0"/>
  <tableStyles count="0" defaultTableStyle="TableStyleMedium2" defaultPivotStyle="PivotStyleLight16"/>
  <colors>
    <mruColors>
      <color rgb="FFFFF2CC"/>
      <color rgb="FFBDD7EE"/>
      <color rgb="FFBD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40"/>
  <sheetViews>
    <sheetView tabSelected="1" zoomScale="115" zoomScaleNormal="115" workbookViewId="0">
      <selection activeCell="F25" sqref="F22:F25"/>
    </sheetView>
  </sheetViews>
  <sheetFormatPr defaultColWidth="9.33203125" defaultRowHeight="14.4" x14ac:dyDescent="0.3"/>
  <cols>
    <col min="1" max="1" width="12.6640625" style="1" customWidth="1"/>
    <col min="2" max="2" width="12.6640625" style="30" customWidth="1"/>
    <col min="3" max="5" width="12.6640625" style="7" customWidth="1"/>
    <col min="6" max="6" width="12.6640625" style="98" customWidth="1"/>
    <col min="7" max="15" width="12.6640625" style="7" customWidth="1"/>
    <col min="16" max="16" width="14.6640625" style="7" bestFit="1" customWidth="1"/>
    <col min="17" max="17" width="9" style="7" customWidth="1"/>
    <col min="18" max="18" width="10.5546875" style="7" customWidth="1"/>
    <col min="19" max="19" width="11.6640625" style="7" customWidth="1"/>
    <col min="20" max="16384" width="9.33203125" style="1"/>
  </cols>
  <sheetData>
    <row r="1" spans="1:19" ht="23.4" thickBot="1" x14ac:dyDescent="0.45">
      <c r="A1" s="86" t="s">
        <v>13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8"/>
      <c r="N1" s="79"/>
      <c r="O1" s="79"/>
    </row>
    <row r="2" spans="1:19" ht="23.1" customHeight="1" thickBot="1" x14ac:dyDescent="0.35">
      <c r="A2" s="2"/>
      <c r="B2" s="28"/>
      <c r="C2" s="83" t="s">
        <v>2</v>
      </c>
      <c r="D2" s="84"/>
      <c r="E2" s="84"/>
      <c r="F2" s="84"/>
      <c r="G2" s="84"/>
      <c r="H2" s="85"/>
      <c r="I2" s="89" t="s">
        <v>8</v>
      </c>
      <c r="J2" s="90"/>
      <c r="K2" s="83" t="s">
        <v>7</v>
      </c>
      <c r="L2" s="84"/>
      <c r="M2" s="85"/>
      <c r="N2" s="80"/>
      <c r="O2" s="80"/>
    </row>
    <row r="3" spans="1:19" ht="42" x14ac:dyDescent="0.3">
      <c r="A3" s="49" t="s">
        <v>14</v>
      </c>
      <c r="B3" s="49" t="s">
        <v>0</v>
      </c>
      <c r="C3" s="50" t="s">
        <v>6</v>
      </c>
      <c r="D3" s="51" t="s">
        <v>1</v>
      </c>
      <c r="E3" s="51" t="s">
        <v>4</v>
      </c>
      <c r="F3" s="91" t="s">
        <v>21</v>
      </c>
      <c r="G3" s="51" t="s">
        <v>3</v>
      </c>
      <c r="H3" s="52" t="s">
        <v>16</v>
      </c>
      <c r="I3" s="53" t="s">
        <v>17</v>
      </c>
      <c r="J3" s="52" t="s">
        <v>5</v>
      </c>
      <c r="K3" s="50" t="s">
        <v>16</v>
      </c>
      <c r="L3" s="51" t="s">
        <v>10</v>
      </c>
      <c r="M3" s="52" t="s">
        <v>9</v>
      </c>
      <c r="N3" s="81"/>
      <c r="O3" s="81"/>
      <c r="P3" s="73"/>
      <c r="Q3" s="74"/>
    </row>
    <row r="4" spans="1:19" x14ac:dyDescent="0.3">
      <c r="A4" s="40">
        <v>45748</v>
      </c>
      <c r="B4" s="9">
        <v>4128710.7039616453</v>
      </c>
      <c r="C4" s="31">
        <v>361981.5838798671</v>
      </c>
      <c r="D4" s="32">
        <v>360666.54381749389</v>
      </c>
      <c r="E4" s="32">
        <v>122212.97487322085</v>
      </c>
      <c r="F4" s="92">
        <v>268453.64912454895</v>
      </c>
      <c r="G4" s="32">
        <v>4014.5162986662785</v>
      </c>
      <c r="H4" s="33">
        <v>3011381.4359678477</v>
      </c>
      <c r="I4" s="11">
        <v>3179645.804652899</v>
      </c>
      <c r="J4" s="12">
        <v>949064.89930874621</v>
      </c>
      <c r="K4" s="13">
        <v>3011381.4359678477</v>
      </c>
      <c r="L4" s="14">
        <v>165197</v>
      </c>
      <c r="M4" s="12">
        <v>3176578.4359678477</v>
      </c>
      <c r="N4" s="32"/>
      <c r="O4" s="32"/>
      <c r="P4" s="44"/>
      <c r="Q4" s="74"/>
      <c r="R4" s="44"/>
      <c r="S4" s="45"/>
    </row>
    <row r="5" spans="1:19" x14ac:dyDescent="0.3">
      <c r="A5" s="40">
        <v>45717</v>
      </c>
      <c r="B5" s="9">
        <v>4114630.2152465228</v>
      </c>
      <c r="C5" s="31">
        <v>361428.71552171861</v>
      </c>
      <c r="D5" s="32">
        <v>361141.80254395993</v>
      </c>
      <c r="E5" s="32">
        <v>123215.36237840672</v>
      </c>
      <c r="F5" s="92">
        <v>267739.20438230567</v>
      </c>
      <c r="G5" s="32">
        <v>3875.9306587683509</v>
      </c>
      <c r="H5" s="33">
        <v>2997229.1997613632</v>
      </c>
      <c r="I5" s="11">
        <v>3165588.3783833729</v>
      </c>
      <c r="J5" s="12">
        <v>949041.83686314989</v>
      </c>
      <c r="K5" s="13">
        <v>2997229.1997613632</v>
      </c>
      <c r="L5" s="14">
        <v>161728</v>
      </c>
      <c r="M5" s="12">
        <v>3158957.1997613632</v>
      </c>
      <c r="N5" s="75">
        <f t="shared" ref="N5:N22" si="0">(D5-D4)/D5</f>
        <v>1.31598924056483E-3</v>
      </c>
      <c r="O5" s="75">
        <f t="shared" ref="O5:O22" si="1">(E5-E4)/E5</f>
        <v>8.1352477957044901E-3</v>
      </c>
      <c r="P5" s="75">
        <f t="shared" ref="P5:P24" si="2">(F5-F4)/F5</f>
        <v>-2.6684352928124542E-3</v>
      </c>
      <c r="Q5" s="75">
        <f t="shared" ref="Q5:Q24" si="3">(G5-G4)/G5</f>
        <v>-3.575544871640346E-2</v>
      </c>
      <c r="R5" s="75">
        <f t="shared" ref="R5:R24" si="4">(H5-H4)/H5</f>
        <v>-4.7217730988378471E-3</v>
      </c>
      <c r="S5" s="75">
        <f t="shared" ref="S5:S24" si="5">(I5-I4)/I5</f>
        <v>-4.440699354824231E-3</v>
      </c>
    </row>
    <row r="6" spans="1:19" x14ac:dyDescent="0.3">
      <c r="A6" s="40">
        <v>45689</v>
      </c>
      <c r="B6" s="9">
        <v>4075502.9437015397</v>
      </c>
      <c r="C6" s="31">
        <v>361570.57547477947</v>
      </c>
      <c r="D6" s="32">
        <v>360170.2766851979</v>
      </c>
      <c r="E6" s="32">
        <v>123169.97673598658</v>
      </c>
      <c r="F6" s="92">
        <v>266107.26306452369</v>
      </c>
      <c r="G6" s="32">
        <v>3798.2110991099516</v>
      </c>
      <c r="H6" s="33">
        <v>2960686.6406419417</v>
      </c>
      <c r="I6" s="11">
        <v>3128823.9289083863</v>
      </c>
      <c r="J6" s="12">
        <v>946679.01479315339</v>
      </c>
      <c r="K6" s="13">
        <v>2960686.6406419417</v>
      </c>
      <c r="L6" s="14">
        <v>182617</v>
      </c>
      <c r="M6" s="12">
        <v>3143303.6406419417</v>
      </c>
      <c r="N6" s="75">
        <f t="shared" si="0"/>
        <v>-2.6974070922881378E-3</v>
      </c>
      <c r="O6" s="75">
        <f t="shared" si="1"/>
        <v>-3.6847975150162054E-4</v>
      </c>
      <c r="P6" s="75">
        <f t="shared" si="2"/>
        <v>-6.1326447801098903E-3</v>
      </c>
      <c r="Q6" s="75">
        <f t="shared" si="3"/>
        <v>-2.0462148530030769E-2</v>
      </c>
      <c r="R6" s="75">
        <f t="shared" si="4"/>
        <v>-1.2342596010599182E-2</v>
      </c>
      <c r="S6" s="75">
        <f t="shared" si="5"/>
        <v>-1.1750245558820363E-2</v>
      </c>
    </row>
    <row r="7" spans="1:19" x14ac:dyDescent="0.3">
      <c r="A7" s="40">
        <v>45658</v>
      </c>
      <c r="B7" s="9">
        <v>4078565.1233924748</v>
      </c>
      <c r="C7" s="31">
        <v>364986.5367793694</v>
      </c>
      <c r="D7" s="32">
        <v>363373.51112580462</v>
      </c>
      <c r="E7" s="32">
        <v>125466.65763586445</v>
      </c>
      <c r="F7" s="92">
        <v>266612.81075739127</v>
      </c>
      <c r="G7" s="32">
        <v>3769.2844788370935</v>
      </c>
      <c r="H7" s="33">
        <v>2954356.3226152081</v>
      </c>
      <c r="I7" s="11">
        <v>3121987.934652877</v>
      </c>
      <c r="J7" s="12">
        <v>956577.1887395978</v>
      </c>
      <c r="K7" s="13">
        <v>2954356.3226152081</v>
      </c>
      <c r="L7" s="14">
        <v>177419</v>
      </c>
      <c r="M7" s="12">
        <v>3131775.3226152081</v>
      </c>
      <c r="N7" s="75">
        <f t="shared" si="0"/>
        <v>8.8152667779290237E-3</v>
      </c>
      <c r="O7" s="75">
        <f t="shared" si="1"/>
        <v>1.8305109446235618E-2</v>
      </c>
      <c r="P7" s="75">
        <f t="shared" si="2"/>
        <v>1.8961868014947319E-3</v>
      </c>
      <c r="Q7" s="75">
        <f t="shared" si="3"/>
        <v>-7.6743001053034441E-3</v>
      </c>
      <c r="R7" s="75">
        <f t="shared" si="4"/>
        <v>-2.1427063412344121E-3</v>
      </c>
      <c r="S7" s="75">
        <f t="shared" si="5"/>
        <v>-2.1896286592373707E-3</v>
      </c>
    </row>
    <row r="8" spans="1:19" x14ac:dyDescent="0.3">
      <c r="A8" s="40">
        <v>45627</v>
      </c>
      <c r="B8" s="9">
        <v>4087634.0208601006</v>
      </c>
      <c r="C8" s="31">
        <v>365285.81891073898</v>
      </c>
      <c r="D8" s="32">
        <v>364882.63925203239</v>
      </c>
      <c r="E8" s="32">
        <v>125117.22229997022</v>
      </c>
      <c r="F8" s="92">
        <v>264962.22046687966</v>
      </c>
      <c r="G8" s="32">
        <v>3756.7819304994691</v>
      </c>
      <c r="H8" s="33">
        <v>2963629.3379999795</v>
      </c>
      <c r="I8" s="11">
        <v>3132463.0210887911</v>
      </c>
      <c r="J8" s="12">
        <v>955170.99977130955</v>
      </c>
      <c r="K8" s="13">
        <v>2963629.3379999795</v>
      </c>
      <c r="L8" s="14">
        <v>171956</v>
      </c>
      <c r="M8" s="12">
        <v>3135585.3379999795</v>
      </c>
      <c r="N8" s="75">
        <f t="shared" si="0"/>
        <v>4.1359274568976544E-3</v>
      </c>
      <c r="O8" s="75">
        <f t="shared" si="1"/>
        <v>-2.7928635999962962E-3</v>
      </c>
      <c r="P8" s="75">
        <f t="shared" si="2"/>
        <v>-6.2295307142398179E-3</v>
      </c>
      <c r="Q8" s="75">
        <f t="shared" si="3"/>
        <v>-3.3279941633349332E-3</v>
      </c>
      <c r="R8" s="75">
        <f t="shared" si="4"/>
        <v>3.1289389890536506E-3</v>
      </c>
      <c r="S8" s="75">
        <f t="shared" si="5"/>
        <v>3.3440415307035539E-3</v>
      </c>
    </row>
    <row r="9" spans="1:19" x14ac:dyDescent="0.3">
      <c r="A9" s="40">
        <v>45597</v>
      </c>
      <c r="B9" s="9">
        <v>4088356.2864241041</v>
      </c>
      <c r="C9" s="31">
        <v>365039.17901063059</v>
      </c>
      <c r="D9" s="32">
        <v>364992.84116461838</v>
      </c>
      <c r="E9" s="32">
        <v>125133.0333054206</v>
      </c>
      <c r="F9" s="92">
        <v>266180.37545056496</v>
      </c>
      <c r="G9" s="32">
        <v>3756.6018306636161</v>
      </c>
      <c r="H9" s="33">
        <v>2963254.2556622061</v>
      </c>
      <c r="I9" s="11">
        <v>3132460.1313065961</v>
      </c>
      <c r="J9" s="12">
        <v>955896.15511750802</v>
      </c>
      <c r="K9" s="13">
        <v>2963254.2556622061</v>
      </c>
      <c r="L9" s="14">
        <v>170791</v>
      </c>
      <c r="M9" s="12">
        <v>3134045.2556622061</v>
      </c>
      <c r="N9" s="75">
        <f t="shared" si="0"/>
        <v>3.0192896998846094E-4</v>
      </c>
      <c r="O9" s="75">
        <f t="shared" si="1"/>
        <v>1.2635356973874934E-4</v>
      </c>
      <c r="P9" s="75">
        <f t="shared" si="2"/>
        <v>4.5764267242591273E-3</v>
      </c>
      <c r="Q9" s="75">
        <f t="shared" si="3"/>
        <v>-4.7942221180586314E-5</v>
      </c>
      <c r="R9" s="75">
        <f t="shared" si="4"/>
        <v>-1.2657784496780699E-4</v>
      </c>
      <c r="S9" s="75">
        <f t="shared" si="5"/>
        <v>-9.2252800477754755E-7</v>
      </c>
    </row>
    <row r="10" spans="1:19" x14ac:dyDescent="0.3">
      <c r="A10" s="42">
        <v>45566</v>
      </c>
      <c r="B10" s="15">
        <v>4105847.3771628295</v>
      </c>
      <c r="C10" s="47">
        <v>364135.09518128948</v>
      </c>
      <c r="D10" s="10">
        <v>365809.41196229216</v>
      </c>
      <c r="E10" s="10">
        <v>127667.3985257126</v>
      </c>
      <c r="F10" s="92">
        <v>269432.58979843312</v>
      </c>
      <c r="G10" s="10">
        <v>3810.163234172388</v>
      </c>
      <c r="H10" s="35">
        <v>2974992.7184609296</v>
      </c>
      <c r="I10" s="18">
        <v>3142081</v>
      </c>
      <c r="J10" s="10">
        <v>963766.37716282951</v>
      </c>
      <c r="K10" s="18">
        <v>2974992.7184609296</v>
      </c>
      <c r="L10" s="19">
        <v>167496</v>
      </c>
      <c r="M10" s="17">
        <v>3142488.7184609296</v>
      </c>
      <c r="N10" s="75">
        <f t="shared" si="0"/>
        <v>2.2322301476429712E-3</v>
      </c>
      <c r="O10" s="75">
        <f t="shared" si="1"/>
        <v>1.9851310902850243E-2</v>
      </c>
      <c r="P10" s="75">
        <f t="shared" si="2"/>
        <v>1.2070604934247942E-2</v>
      </c>
      <c r="Q10" s="75">
        <f t="shared" si="3"/>
        <v>1.4057508882662375E-2</v>
      </c>
      <c r="R10" s="75">
        <f t="shared" si="4"/>
        <v>3.9457114385127679E-3</v>
      </c>
      <c r="S10" s="75">
        <f t="shared" si="5"/>
        <v>3.0619416537651001E-3</v>
      </c>
    </row>
    <row r="11" spans="1:19" x14ac:dyDescent="0.3">
      <c r="A11" s="62">
        <v>45536</v>
      </c>
      <c r="B11" s="20">
        <v>4142909</v>
      </c>
      <c r="C11" s="48">
        <v>362897</v>
      </c>
      <c r="D11" s="37">
        <v>366182</v>
      </c>
      <c r="E11" s="37">
        <v>127316</v>
      </c>
      <c r="F11" s="93">
        <v>270427</v>
      </c>
      <c r="G11" s="37">
        <v>3842</v>
      </c>
      <c r="H11" s="38">
        <v>3012245</v>
      </c>
      <c r="I11" s="23">
        <v>3177113</v>
      </c>
      <c r="J11" s="37">
        <v>965796</v>
      </c>
      <c r="K11" s="23">
        <v>3012245</v>
      </c>
      <c r="L11" s="24">
        <v>165595</v>
      </c>
      <c r="M11" s="22">
        <v>3177840</v>
      </c>
      <c r="N11" s="75">
        <f t="shared" si="0"/>
        <v>1.0174941359975174E-3</v>
      </c>
      <c r="O11" s="75">
        <f t="shared" si="1"/>
        <v>-2.7600499993135517E-3</v>
      </c>
      <c r="P11" s="75">
        <f t="shared" si="2"/>
        <v>3.6771853460152867E-3</v>
      </c>
      <c r="Q11" s="75">
        <f t="shared" si="3"/>
        <v>8.2865085444070799E-3</v>
      </c>
      <c r="R11" s="75">
        <f t="shared" si="4"/>
        <v>1.2366949414496637E-2</v>
      </c>
      <c r="S11" s="75">
        <f t="shared" si="5"/>
        <v>1.1026362612850093E-2</v>
      </c>
    </row>
    <row r="12" spans="1:19" x14ac:dyDescent="0.3">
      <c r="A12" s="42">
        <v>45505</v>
      </c>
      <c r="B12" s="15">
        <v>4154844</v>
      </c>
      <c r="C12" s="47">
        <v>361882</v>
      </c>
      <c r="D12" s="10">
        <v>366809</v>
      </c>
      <c r="E12" s="10">
        <v>127289</v>
      </c>
      <c r="F12" s="92">
        <v>269375</v>
      </c>
      <c r="G12" s="10">
        <v>3895</v>
      </c>
      <c r="H12" s="35">
        <v>3025594</v>
      </c>
      <c r="I12" s="18">
        <v>3190593</v>
      </c>
      <c r="J12" s="10">
        <v>964251</v>
      </c>
      <c r="K12" s="18">
        <v>3025594</v>
      </c>
      <c r="L12" s="19">
        <v>163517</v>
      </c>
      <c r="M12" s="17">
        <v>3189111</v>
      </c>
      <c r="N12" s="75">
        <f t="shared" si="0"/>
        <v>1.7093364666624865E-3</v>
      </c>
      <c r="O12" s="75">
        <f t="shared" si="1"/>
        <v>-2.1211573663081648E-4</v>
      </c>
      <c r="P12" s="75">
        <f t="shared" si="2"/>
        <v>-3.905336426914153E-3</v>
      </c>
      <c r="Q12" s="75">
        <f t="shared" si="3"/>
        <v>1.3607188703465983E-2</v>
      </c>
      <c r="R12" s="75">
        <f t="shared" si="4"/>
        <v>4.4120262004750145E-3</v>
      </c>
      <c r="S12" s="75">
        <f t="shared" si="5"/>
        <v>4.2249199443489035E-3</v>
      </c>
    </row>
    <row r="13" spans="1:19" x14ac:dyDescent="0.3">
      <c r="A13" s="42">
        <v>45474</v>
      </c>
      <c r="B13" s="15">
        <v>4142787</v>
      </c>
      <c r="C13" s="47">
        <v>361003</v>
      </c>
      <c r="D13" s="10">
        <v>367766</v>
      </c>
      <c r="E13" s="10">
        <v>130171</v>
      </c>
      <c r="F13" s="92">
        <v>268093</v>
      </c>
      <c r="G13" s="10">
        <v>3933</v>
      </c>
      <c r="H13" s="35">
        <v>3011821</v>
      </c>
      <c r="I13" s="18">
        <v>3177216</v>
      </c>
      <c r="J13" s="10">
        <v>965571</v>
      </c>
      <c r="K13" s="18">
        <v>3011821</v>
      </c>
      <c r="L13" s="19">
        <v>163027</v>
      </c>
      <c r="M13" s="17">
        <v>3174848</v>
      </c>
      <c r="N13" s="75">
        <f t="shared" si="0"/>
        <v>2.6021981368587635E-3</v>
      </c>
      <c r="O13" s="75">
        <f t="shared" si="1"/>
        <v>2.2140108011769133E-2</v>
      </c>
      <c r="P13" s="75">
        <f t="shared" si="2"/>
        <v>-4.7819226910064787E-3</v>
      </c>
      <c r="Q13" s="75">
        <f t="shared" si="3"/>
        <v>9.6618357487922701E-3</v>
      </c>
      <c r="R13" s="75">
        <f t="shared" si="4"/>
        <v>-4.5729809308056486E-3</v>
      </c>
      <c r="S13" s="75">
        <f t="shared" si="5"/>
        <v>-4.2102897631133675E-3</v>
      </c>
    </row>
    <row r="14" spans="1:19" x14ac:dyDescent="0.3">
      <c r="A14" s="42">
        <v>45444</v>
      </c>
      <c r="B14" s="15">
        <v>4135312</v>
      </c>
      <c r="C14" s="47">
        <v>360364</v>
      </c>
      <c r="D14" s="10">
        <v>369146</v>
      </c>
      <c r="E14" s="10">
        <v>131866</v>
      </c>
      <c r="F14" s="92">
        <v>269712</v>
      </c>
      <c r="G14" s="10">
        <v>3969</v>
      </c>
      <c r="H14" s="35">
        <v>3000255</v>
      </c>
      <c r="I14" s="18">
        <v>3165577</v>
      </c>
      <c r="J14" s="10">
        <v>969735</v>
      </c>
      <c r="K14" s="18">
        <v>3000255</v>
      </c>
      <c r="L14" s="19">
        <v>161504</v>
      </c>
      <c r="M14" s="17">
        <v>3161759</v>
      </c>
      <c r="N14" s="75">
        <f t="shared" si="0"/>
        <v>3.7383582647516158E-3</v>
      </c>
      <c r="O14" s="75">
        <f t="shared" si="1"/>
        <v>1.2853957805651191E-2</v>
      </c>
      <c r="P14" s="75">
        <f t="shared" si="2"/>
        <v>6.0026991754167404E-3</v>
      </c>
      <c r="Q14" s="75">
        <f t="shared" si="3"/>
        <v>9.0702947845804991E-3</v>
      </c>
      <c r="R14" s="75">
        <f t="shared" si="4"/>
        <v>-3.8550056578524157E-3</v>
      </c>
      <c r="S14" s="75">
        <f t="shared" si="5"/>
        <v>-3.6767388694067464E-3</v>
      </c>
    </row>
    <row r="15" spans="1:19" x14ac:dyDescent="0.3">
      <c r="A15" s="42">
        <v>45413</v>
      </c>
      <c r="B15" s="15">
        <v>4178525</v>
      </c>
      <c r="C15" s="47">
        <v>359606</v>
      </c>
      <c r="D15" s="10">
        <v>369245</v>
      </c>
      <c r="E15" s="10">
        <v>137380</v>
      </c>
      <c r="F15" s="92">
        <v>269962</v>
      </c>
      <c r="G15" s="10">
        <v>4052</v>
      </c>
      <c r="H15" s="35">
        <v>3038280</v>
      </c>
      <c r="I15" s="18">
        <v>3201235</v>
      </c>
      <c r="J15" s="10">
        <v>977290</v>
      </c>
      <c r="K15" s="18">
        <v>3038280</v>
      </c>
      <c r="L15" s="19">
        <v>159160</v>
      </c>
      <c r="M15" s="17">
        <v>3197440</v>
      </c>
      <c r="N15" s="75">
        <f t="shared" si="0"/>
        <v>2.6811466641389863E-4</v>
      </c>
      <c r="O15" s="75">
        <f t="shared" si="1"/>
        <v>4.0136846702576792E-2</v>
      </c>
      <c r="P15" s="75">
        <f t="shared" si="2"/>
        <v>9.260562597698935E-4</v>
      </c>
      <c r="Q15" s="75">
        <f t="shared" si="3"/>
        <v>2.0483711747285291E-2</v>
      </c>
      <c r="R15" s="75">
        <f t="shared" si="4"/>
        <v>1.2515304711876457E-2</v>
      </c>
      <c r="S15" s="75">
        <f t="shared" si="5"/>
        <v>1.1138826109298443E-2</v>
      </c>
    </row>
    <row r="16" spans="1:19" x14ac:dyDescent="0.3">
      <c r="A16" s="42">
        <v>45383</v>
      </c>
      <c r="B16" s="15">
        <v>4214061</v>
      </c>
      <c r="C16" s="47">
        <v>358835</v>
      </c>
      <c r="D16" s="10">
        <v>370681</v>
      </c>
      <c r="E16" s="10">
        <v>142611</v>
      </c>
      <c r="F16" s="92">
        <v>268508</v>
      </c>
      <c r="G16" s="10">
        <v>4119</v>
      </c>
      <c r="H16" s="35">
        <v>3069307</v>
      </c>
      <c r="I16" s="18">
        <v>3229395</v>
      </c>
      <c r="J16" s="10">
        <v>984666</v>
      </c>
      <c r="K16" s="18">
        <v>3069307</v>
      </c>
      <c r="L16" s="19">
        <v>149376</v>
      </c>
      <c r="M16" s="17">
        <v>3218683</v>
      </c>
      <c r="N16" s="75">
        <f t="shared" si="0"/>
        <v>3.8739509173656055E-3</v>
      </c>
      <c r="O16" s="75">
        <f t="shared" si="1"/>
        <v>3.6680199984573419E-2</v>
      </c>
      <c r="P16" s="75">
        <f t="shared" si="2"/>
        <v>-5.4151086746018744E-3</v>
      </c>
      <c r="Q16" s="75">
        <f t="shared" si="3"/>
        <v>1.6266084000971109E-2</v>
      </c>
      <c r="R16" s="75">
        <f t="shared" si="4"/>
        <v>1.0108796545930401E-2</v>
      </c>
      <c r="S16" s="75">
        <f t="shared" si="5"/>
        <v>8.719899547748107E-3</v>
      </c>
    </row>
    <row r="17" spans="1:19" x14ac:dyDescent="0.3">
      <c r="A17" s="42">
        <v>45352</v>
      </c>
      <c r="B17" s="15">
        <v>4199570</v>
      </c>
      <c r="C17" s="47">
        <v>357431</v>
      </c>
      <c r="D17" s="10">
        <v>372747</v>
      </c>
      <c r="E17" s="10">
        <v>152192</v>
      </c>
      <c r="F17" s="92">
        <v>247371</v>
      </c>
      <c r="G17" s="10">
        <v>4212</v>
      </c>
      <c r="H17" s="35">
        <v>3065617</v>
      </c>
      <c r="I17" s="18">
        <v>3220639</v>
      </c>
      <c r="J17" s="10">
        <v>978931</v>
      </c>
      <c r="K17" s="18">
        <v>3065617</v>
      </c>
      <c r="L17" s="19">
        <v>145204</v>
      </c>
      <c r="M17" s="17">
        <v>3210821</v>
      </c>
      <c r="N17" s="75">
        <f t="shared" si="0"/>
        <v>5.5426334752526514E-3</v>
      </c>
      <c r="O17" s="75">
        <f t="shared" si="1"/>
        <v>6.2953374684608918E-2</v>
      </c>
      <c r="P17" s="75">
        <f t="shared" si="2"/>
        <v>-8.5446555982714223E-2</v>
      </c>
      <c r="Q17" s="75">
        <f t="shared" si="3"/>
        <v>2.2079772079772079E-2</v>
      </c>
      <c r="R17" s="75">
        <f t="shared" si="4"/>
        <v>-1.2036728658537581E-3</v>
      </c>
      <c r="S17" s="75">
        <f t="shared" si="5"/>
        <v>-2.7187151369650556E-3</v>
      </c>
    </row>
    <row r="18" spans="1:19" x14ac:dyDescent="0.3">
      <c r="A18" s="42">
        <v>45323</v>
      </c>
      <c r="B18" s="15">
        <v>4118103</v>
      </c>
      <c r="C18" s="47">
        <v>357255</v>
      </c>
      <c r="D18" s="10">
        <v>374175</v>
      </c>
      <c r="E18" s="10">
        <v>157024</v>
      </c>
      <c r="F18" s="92">
        <v>165441</v>
      </c>
      <c r="G18" s="10">
        <v>4281</v>
      </c>
      <c r="H18" s="35">
        <v>3059927</v>
      </c>
      <c r="I18" s="18">
        <v>3207223</v>
      </c>
      <c r="J18" s="10">
        <v>910880</v>
      </c>
      <c r="K18" s="18">
        <v>3059927</v>
      </c>
      <c r="L18" s="19">
        <v>145661</v>
      </c>
      <c r="M18" s="17">
        <v>3205588</v>
      </c>
      <c r="N18" s="75">
        <f t="shared" si="0"/>
        <v>3.8163960713569855E-3</v>
      </c>
      <c r="O18" s="75">
        <f t="shared" si="1"/>
        <v>3.077236600774404E-2</v>
      </c>
      <c r="P18" s="75">
        <f t="shared" si="2"/>
        <v>-0.49522186156998566</v>
      </c>
      <c r="Q18" s="75">
        <f t="shared" si="3"/>
        <v>1.6117729502452698E-2</v>
      </c>
      <c r="R18" s="75">
        <f t="shared" si="4"/>
        <v>-1.8595214853164798E-3</v>
      </c>
      <c r="S18" s="75">
        <f t="shared" si="5"/>
        <v>-4.1830580536495283E-3</v>
      </c>
    </row>
    <row r="19" spans="1:19" x14ac:dyDescent="0.3">
      <c r="A19" s="42">
        <v>45292</v>
      </c>
      <c r="B19" s="15">
        <v>4136965</v>
      </c>
      <c r="C19" s="47">
        <v>357685</v>
      </c>
      <c r="D19" s="10">
        <v>376435</v>
      </c>
      <c r="E19" s="10">
        <v>164338</v>
      </c>
      <c r="F19" s="92">
        <v>173116</v>
      </c>
      <c r="G19" s="10">
        <v>4384</v>
      </c>
      <c r="H19" s="35">
        <v>3061007</v>
      </c>
      <c r="I19" s="18">
        <v>3207884</v>
      </c>
      <c r="J19" s="10">
        <v>929081</v>
      </c>
      <c r="K19" s="18">
        <v>3061007</v>
      </c>
      <c r="L19" s="19">
        <v>140373</v>
      </c>
      <c r="M19" s="17">
        <v>3201380</v>
      </c>
      <c r="N19" s="75">
        <f t="shared" si="0"/>
        <v>6.0036925365600964E-3</v>
      </c>
      <c r="O19" s="82">
        <f t="shared" si="1"/>
        <v>4.4505835534082196E-2</v>
      </c>
      <c r="P19" s="82">
        <f t="shared" si="2"/>
        <v>4.4334434714295615E-2</v>
      </c>
      <c r="Q19" s="75">
        <f t="shared" si="3"/>
        <v>2.3494525547445255E-2</v>
      </c>
      <c r="R19" s="75">
        <f t="shared" si="4"/>
        <v>3.5282506704492996E-4</v>
      </c>
      <c r="S19" s="75">
        <f t="shared" si="5"/>
        <v>2.0605483240665809E-4</v>
      </c>
    </row>
    <row r="20" spans="1:19" x14ac:dyDescent="0.3">
      <c r="A20" s="42">
        <v>45261</v>
      </c>
      <c r="B20" s="15">
        <v>4317867</v>
      </c>
      <c r="C20" s="47">
        <v>365814</v>
      </c>
      <c r="D20" s="10">
        <v>380204</v>
      </c>
      <c r="E20" s="10">
        <v>174706</v>
      </c>
      <c r="F20" s="92">
        <v>181646</v>
      </c>
      <c r="G20" s="10">
        <v>4758</v>
      </c>
      <c r="H20" s="35">
        <v>3210739</v>
      </c>
      <c r="I20" s="18">
        <v>3355115</v>
      </c>
      <c r="J20" s="10">
        <v>962752</v>
      </c>
      <c r="K20" s="18">
        <v>3210739</v>
      </c>
      <c r="L20" s="19">
        <v>130854</v>
      </c>
      <c r="M20" s="17">
        <v>3341593</v>
      </c>
      <c r="N20" s="75">
        <f t="shared" si="0"/>
        <v>9.9130992835425192E-3</v>
      </c>
      <c r="O20" s="82">
        <f t="shared" si="1"/>
        <v>5.9345414582212402E-2</v>
      </c>
      <c r="P20" s="82">
        <f t="shared" si="2"/>
        <v>4.6959470618675885E-2</v>
      </c>
      <c r="Q20" s="75">
        <f t="shared" si="3"/>
        <v>7.8604455653635982E-2</v>
      </c>
      <c r="R20" s="75">
        <f t="shared" si="4"/>
        <v>4.6634746704730591E-2</v>
      </c>
      <c r="S20" s="75">
        <f t="shared" si="5"/>
        <v>4.3882549480420197E-2</v>
      </c>
    </row>
    <row r="21" spans="1:19" x14ac:dyDescent="0.3">
      <c r="A21" s="42">
        <v>45231</v>
      </c>
      <c r="B21" s="15">
        <v>4554284</v>
      </c>
      <c r="C21" s="47">
        <v>369184</v>
      </c>
      <c r="D21" s="10">
        <v>385486</v>
      </c>
      <c r="E21" s="10">
        <v>189737</v>
      </c>
      <c r="F21" s="92">
        <v>204057</v>
      </c>
      <c r="G21" s="10">
        <v>5894</v>
      </c>
      <c r="H21" s="35">
        <v>3399926</v>
      </c>
      <c r="I21" s="18">
        <v>3527568</v>
      </c>
      <c r="J21" s="10">
        <v>1026716</v>
      </c>
      <c r="K21" s="18">
        <v>3399926</v>
      </c>
      <c r="L21" s="19">
        <v>114131</v>
      </c>
      <c r="M21" s="17">
        <v>3514057</v>
      </c>
      <c r="N21" s="75">
        <f t="shared" si="0"/>
        <v>1.3702183736893169E-2</v>
      </c>
      <c r="O21" s="82">
        <f t="shared" si="1"/>
        <v>7.922018372800245E-2</v>
      </c>
      <c r="P21" s="82">
        <f t="shared" si="2"/>
        <v>0.10982715613774582</v>
      </c>
      <c r="Q21" s="75">
        <f t="shared" si="3"/>
        <v>0.19273837801153715</v>
      </c>
      <c r="R21" s="75">
        <f t="shared" si="4"/>
        <v>5.5644446379127077E-2</v>
      </c>
      <c r="S21" s="75">
        <f t="shared" si="5"/>
        <v>4.88872220181156E-2</v>
      </c>
    </row>
    <row r="22" spans="1:19" x14ac:dyDescent="0.3">
      <c r="A22" s="42">
        <v>45200</v>
      </c>
      <c r="B22" s="15">
        <v>4856531</v>
      </c>
      <c r="C22" s="47">
        <v>397013</v>
      </c>
      <c r="D22" s="10">
        <v>423115</v>
      </c>
      <c r="E22" s="10">
        <v>206226</v>
      </c>
      <c r="F22" s="92">
        <v>243231</v>
      </c>
      <c r="G22" s="10">
        <v>6146</v>
      </c>
      <c r="H22" s="35">
        <v>3580800</v>
      </c>
      <c r="I22" s="18">
        <v>3713143</v>
      </c>
      <c r="J22" s="10">
        <v>1143388</v>
      </c>
      <c r="K22" s="18">
        <v>3580800</v>
      </c>
      <c r="L22" s="19">
        <v>99233</v>
      </c>
      <c r="M22" s="17">
        <v>3680033</v>
      </c>
      <c r="N22" s="75">
        <f t="shared" si="0"/>
        <v>8.8933268733086754E-2</v>
      </c>
      <c r="O22" s="82">
        <f t="shared" si="1"/>
        <v>7.9955970634158643E-2</v>
      </c>
      <c r="P22" s="82">
        <f t="shared" si="2"/>
        <v>0.16105677319091727</v>
      </c>
      <c r="Q22" s="75">
        <f t="shared" si="3"/>
        <v>4.1002277904328019E-2</v>
      </c>
      <c r="R22" s="75">
        <f t="shared" si="4"/>
        <v>5.0512176050044683E-2</v>
      </c>
      <c r="S22" s="75">
        <f t="shared" si="5"/>
        <v>4.9977875885738848E-2</v>
      </c>
    </row>
    <row r="23" spans="1:19" x14ac:dyDescent="0.3">
      <c r="A23" s="62">
        <v>45170</v>
      </c>
      <c r="B23" s="20">
        <v>5140845</v>
      </c>
      <c r="C23" s="48">
        <v>396733</v>
      </c>
      <c r="D23" s="37">
        <v>427807</v>
      </c>
      <c r="E23" s="37">
        <v>243726</v>
      </c>
      <c r="F23" s="93">
        <v>325121</v>
      </c>
      <c r="G23" s="37">
        <v>6374</v>
      </c>
      <c r="H23" s="38">
        <v>3741084</v>
      </c>
      <c r="I23" s="23">
        <v>3855695</v>
      </c>
      <c r="J23" s="37">
        <v>1285150</v>
      </c>
      <c r="K23" s="23">
        <v>3741084</v>
      </c>
      <c r="L23" s="24">
        <v>89904</v>
      </c>
      <c r="M23" s="22">
        <v>3830988</v>
      </c>
      <c r="N23" s="75">
        <f>(D23-D22)/D23</f>
        <v>1.0967562475602316E-2</v>
      </c>
      <c r="O23" s="82">
        <f>(E23-E22)/E23</f>
        <v>0.15386130326678318</v>
      </c>
      <c r="P23" s="82">
        <f t="shared" si="2"/>
        <v>0.25187545559960756</v>
      </c>
      <c r="Q23" s="75">
        <f t="shared" si="3"/>
        <v>3.5770316912456857E-2</v>
      </c>
      <c r="R23" s="75">
        <f t="shared" si="4"/>
        <v>4.2844266528097204E-2</v>
      </c>
      <c r="S23" s="75">
        <f t="shared" si="5"/>
        <v>3.697180404570382E-2</v>
      </c>
    </row>
    <row r="24" spans="1:19" x14ac:dyDescent="0.3">
      <c r="A24" s="42">
        <v>45139</v>
      </c>
      <c r="B24" s="15">
        <v>5462748</v>
      </c>
      <c r="C24" s="47">
        <v>396884</v>
      </c>
      <c r="D24" s="10">
        <v>427377</v>
      </c>
      <c r="E24" s="10">
        <v>251423</v>
      </c>
      <c r="F24" s="92">
        <v>498392</v>
      </c>
      <c r="G24" s="10">
        <v>6517</v>
      </c>
      <c r="H24" s="35">
        <v>3882155</v>
      </c>
      <c r="I24" s="18">
        <v>4003670</v>
      </c>
      <c r="J24" s="10">
        <v>1459078</v>
      </c>
      <c r="K24" s="18">
        <v>3882155</v>
      </c>
      <c r="L24" s="19">
        <v>76747</v>
      </c>
      <c r="M24" s="17">
        <v>3958902</v>
      </c>
      <c r="N24" s="75">
        <f t="shared" ref="N24:N42" si="6">(D24-D23)/D24</f>
        <v>-1.0061374383740819E-3</v>
      </c>
      <c r="O24" s="82">
        <f t="shared" ref="O24:O42" si="7">(E24-E23)/E24</f>
        <v>3.0613746554611153E-2</v>
      </c>
      <c r="P24" s="82">
        <f t="shared" si="2"/>
        <v>0.34766007480055861</v>
      </c>
      <c r="Q24" s="75">
        <f t="shared" si="3"/>
        <v>2.1942611631118613E-2</v>
      </c>
      <c r="R24" s="75">
        <f t="shared" si="4"/>
        <v>3.6338322400831499E-2</v>
      </c>
      <c r="S24" s="75">
        <f t="shared" si="5"/>
        <v>3.6959839347398764E-2</v>
      </c>
    </row>
    <row r="25" spans="1:19" x14ac:dyDescent="0.3">
      <c r="A25" s="42">
        <v>45108</v>
      </c>
      <c r="B25" s="15">
        <v>5564986</v>
      </c>
      <c r="C25" s="47">
        <v>397418</v>
      </c>
      <c r="D25" s="10">
        <v>426945</v>
      </c>
      <c r="E25" s="10">
        <v>249880</v>
      </c>
      <c r="F25" s="92">
        <v>511183</v>
      </c>
      <c r="G25" s="10">
        <v>6681</v>
      </c>
      <c r="H25" s="35">
        <v>3972879</v>
      </c>
      <c r="I25" s="18">
        <v>4092267</v>
      </c>
      <c r="J25" s="10">
        <v>1472719</v>
      </c>
      <c r="K25" s="18">
        <v>3972879</v>
      </c>
      <c r="L25" s="19">
        <v>59596</v>
      </c>
      <c r="M25" s="17">
        <v>4032475</v>
      </c>
      <c r="N25" s="75">
        <f t="shared" si="6"/>
        <v>-1.0118399325440045E-3</v>
      </c>
      <c r="O25" s="82">
        <f t="shared" si="7"/>
        <v>-6.1749639827117014E-3</v>
      </c>
      <c r="P25" s="82">
        <f t="shared" ref="P25:P39" si="8">(F25-F24)/F25</f>
        <v>2.5022350117276982E-2</v>
      </c>
      <c r="Q25" s="75">
        <f t="shared" ref="Q25:Q39" si="9">(G25-G24)/G25</f>
        <v>2.4547223469540486E-2</v>
      </c>
      <c r="R25" s="75">
        <f t="shared" ref="R25:R39" si="10">(H25-H24)/H25</f>
        <v>2.2835832654354689E-2</v>
      </c>
      <c r="S25" s="75">
        <f t="shared" ref="S25:S39" si="11">(I25-I24)/I25</f>
        <v>2.1649858134867545E-2</v>
      </c>
    </row>
    <row r="26" spans="1:19" x14ac:dyDescent="0.3">
      <c r="A26" s="42">
        <v>45078</v>
      </c>
      <c r="B26" s="15">
        <v>5595264</v>
      </c>
      <c r="C26" s="47">
        <v>396943</v>
      </c>
      <c r="D26" s="10">
        <v>426391</v>
      </c>
      <c r="E26" s="10">
        <v>251663</v>
      </c>
      <c r="F26" s="92">
        <v>507057</v>
      </c>
      <c r="G26" s="10">
        <v>6697</v>
      </c>
      <c r="H26" s="35">
        <v>4006513</v>
      </c>
      <c r="I26" s="18">
        <v>4124273</v>
      </c>
      <c r="J26" s="10">
        <v>1470991</v>
      </c>
      <c r="K26" s="18">
        <v>4006513</v>
      </c>
      <c r="L26" s="19">
        <v>46015</v>
      </c>
      <c r="M26" s="17">
        <v>4052528</v>
      </c>
      <c r="N26" s="75">
        <f t="shared" si="6"/>
        <v>-1.2992769547199637E-3</v>
      </c>
      <c r="O26" s="75">
        <f t="shared" si="7"/>
        <v>7.0848714352129633E-3</v>
      </c>
      <c r="P26" s="75">
        <f t="shared" si="8"/>
        <v>-8.1371522333781015E-3</v>
      </c>
      <c r="Q26" s="75">
        <f t="shared" si="9"/>
        <v>2.3891294609526652E-3</v>
      </c>
      <c r="R26" s="75">
        <f t="shared" si="10"/>
        <v>8.3948311162349906E-3</v>
      </c>
      <c r="S26" s="75">
        <f t="shared" si="11"/>
        <v>7.7603980143894453E-3</v>
      </c>
    </row>
    <row r="27" spans="1:19" x14ac:dyDescent="0.3">
      <c r="A27" s="42">
        <v>45047</v>
      </c>
      <c r="B27" s="15">
        <v>5930210</v>
      </c>
      <c r="C27" s="47">
        <v>398667</v>
      </c>
      <c r="D27" s="10">
        <v>426459</v>
      </c>
      <c r="E27" s="10">
        <v>270608</v>
      </c>
      <c r="F27" s="92">
        <v>501614</v>
      </c>
      <c r="G27" s="10">
        <v>6653</v>
      </c>
      <c r="H27" s="35">
        <v>4326209</v>
      </c>
      <c r="I27" s="18">
        <v>4411203</v>
      </c>
      <c r="J27" s="10">
        <v>1519007</v>
      </c>
      <c r="K27" s="18">
        <v>4326209</v>
      </c>
      <c r="L27" s="19">
        <v>39399</v>
      </c>
      <c r="M27" s="17">
        <v>4365608</v>
      </c>
      <c r="N27" s="75">
        <f t="shared" si="6"/>
        <v>1.5945260857432952E-4</v>
      </c>
      <c r="O27" s="75">
        <f t="shared" si="7"/>
        <v>7.0009016732690832E-2</v>
      </c>
      <c r="P27" s="75">
        <f t="shared" si="8"/>
        <v>-1.0850973058965659E-2</v>
      </c>
      <c r="Q27" s="75">
        <f t="shared" si="9"/>
        <v>-6.6135577934766272E-3</v>
      </c>
      <c r="R27" s="75">
        <f t="shared" si="10"/>
        <v>7.3897493163182823E-2</v>
      </c>
      <c r="S27" s="75">
        <f t="shared" si="11"/>
        <v>6.504574829133912E-2</v>
      </c>
    </row>
    <row r="28" spans="1:19" x14ac:dyDescent="0.3">
      <c r="A28" s="42">
        <v>45017</v>
      </c>
      <c r="B28" s="15">
        <v>5902305</v>
      </c>
      <c r="C28" s="47">
        <v>397251</v>
      </c>
      <c r="D28" s="10">
        <v>426217</v>
      </c>
      <c r="E28" s="10">
        <v>268062</v>
      </c>
      <c r="F28" s="92">
        <v>495541</v>
      </c>
      <c r="G28" s="10">
        <v>6649</v>
      </c>
      <c r="H28" s="35">
        <v>4308585</v>
      </c>
      <c r="I28" s="18">
        <v>4401432</v>
      </c>
      <c r="J28" s="10">
        <v>1500873</v>
      </c>
      <c r="K28" s="18">
        <v>4308585</v>
      </c>
      <c r="L28" s="19">
        <v>40315</v>
      </c>
      <c r="M28" s="17">
        <v>4348900</v>
      </c>
      <c r="N28" s="75">
        <f t="shared" si="6"/>
        <v>-5.6778589310140144E-4</v>
      </c>
      <c r="O28" s="75">
        <f t="shared" si="7"/>
        <v>-9.4978027471256648E-3</v>
      </c>
      <c r="P28" s="75">
        <f t="shared" si="8"/>
        <v>-1.2255292700301287E-2</v>
      </c>
      <c r="Q28" s="75">
        <f t="shared" si="9"/>
        <v>-6.0159422469544292E-4</v>
      </c>
      <c r="R28" s="75">
        <f t="shared" si="10"/>
        <v>-4.0904380440446222E-3</v>
      </c>
      <c r="S28" s="75">
        <f t="shared" si="11"/>
        <v>-2.2199593223296418E-3</v>
      </c>
    </row>
    <row r="29" spans="1:19" x14ac:dyDescent="0.3">
      <c r="A29" s="42">
        <v>44986</v>
      </c>
      <c r="B29" s="15">
        <v>5869989</v>
      </c>
      <c r="C29" s="47">
        <v>396112</v>
      </c>
      <c r="D29" s="10">
        <v>425438</v>
      </c>
      <c r="E29" s="10">
        <v>264936</v>
      </c>
      <c r="F29" s="92">
        <v>489284</v>
      </c>
      <c r="G29" s="10">
        <v>6608</v>
      </c>
      <c r="H29" s="35">
        <v>4287611</v>
      </c>
      <c r="I29" s="18">
        <v>4388122</v>
      </c>
      <c r="J29" s="10">
        <v>1481867</v>
      </c>
      <c r="K29" s="18">
        <v>4287611</v>
      </c>
      <c r="L29" s="19">
        <v>41332</v>
      </c>
      <c r="M29" s="17">
        <v>4328943</v>
      </c>
      <c r="N29" s="75">
        <f t="shared" si="6"/>
        <v>-1.8310541136428811E-3</v>
      </c>
      <c r="O29" s="75">
        <f t="shared" si="7"/>
        <v>-1.1799076003261164E-2</v>
      </c>
      <c r="P29" s="75">
        <f t="shared" si="8"/>
        <v>-1.2788074002011101E-2</v>
      </c>
      <c r="Q29" s="75">
        <f t="shared" si="9"/>
        <v>-6.2046004842615009E-3</v>
      </c>
      <c r="R29" s="75">
        <f t="shared" si="10"/>
        <v>-4.8917683996985732E-3</v>
      </c>
      <c r="S29" s="75">
        <f t="shared" si="11"/>
        <v>-3.0331882294977212E-3</v>
      </c>
    </row>
    <row r="30" spans="1:19" x14ac:dyDescent="0.3">
      <c r="A30" s="42">
        <v>44958</v>
      </c>
      <c r="B30" s="15">
        <v>5828208</v>
      </c>
      <c r="C30" s="47">
        <v>394546</v>
      </c>
      <c r="D30" s="10">
        <v>425152</v>
      </c>
      <c r="E30" s="10">
        <v>262211</v>
      </c>
      <c r="F30" s="92">
        <v>482037</v>
      </c>
      <c r="G30" s="10">
        <v>6468</v>
      </c>
      <c r="H30" s="35">
        <v>4257794</v>
      </c>
      <c r="I30" s="18">
        <v>4367147</v>
      </c>
      <c r="J30" s="10">
        <v>1461061</v>
      </c>
      <c r="K30" s="18">
        <v>4257794</v>
      </c>
      <c r="L30" s="19">
        <v>48870</v>
      </c>
      <c r="M30" s="17">
        <v>4306664</v>
      </c>
      <c r="N30" s="75">
        <f t="shared" si="6"/>
        <v>-6.7270058708414869E-4</v>
      </c>
      <c r="O30" s="75">
        <f t="shared" si="7"/>
        <v>-1.0392393911773342E-2</v>
      </c>
      <c r="P30" s="75">
        <f t="shared" si="8"/>
        <v>-1.5034115638426096E-2</v>
      </c>
      <c r="Q30" s="75">
        <f t="shared" si="9"/>
        <v>-2.1645021645021644E-2</v>
      </c>
      <c r="R30" s="75">
        <f t="shared" si="10"/>
        <v>-7.0029221704948621E-3</v>
      </c>
      <c r="S30" s="75">
        <f t="shared" si="11"/>
        <v>-4.8029067947563935E-3</v>
      </c>
    </row>
    <row r="31" spans="1:19" x14ac:dyDescent="0.3">
      <c r="A31" s="42">
        <v>44927</v>
      </c>
      <c r="B31" s="15">
        <v>5798943</v>
      </c>
      <c r="C31" s="47">
        <v>393360</v>
      </c>
      <c r="D31" s="10">
        <v>425140</v>
      </c>
      <c r="E31" s="10">
        <v>259498</v>
      </c>
      <c r="F31" s="92">
        <v>476205</v>
      </c>
      <c r="G31" s="10">
        <v>6456</v>
      </c>
      <c r="H31" s="35">
        <v>4238284</v>
      </c>
      <c r="I31" s="18">
        <v>4354397</v>
      </c>
      <c r="J31" s="10">
        <v>1444546</v>
      </c>
      <c r="K31" s="18">
        <v>4238284</v>
      </c>
      <c r="L31" s="19">
        <v>50909</v>
      </c>
      <c r="M31" s="17">
        <v>4289193</v>
      </c>
      <c r="N31" s="75">
        <f t="shared" si="6"/>
        <v>-2.8225996142447194E-5</v>
      </c>
      <c r="O31" s="75">
        <f t="shared" si="7"/>
        <v>-1.045480119307278E-2</v>
      </c>
      <c r="P31" s="75">
        <f t="shared" si="8"/>
        <v>-1.2246826471792611E-2</v>
      </c>
      <c r="Q31" s="75">
        <f t="shared" si="9"/>
        <v>-1.8587360594795538E-3</v>
      </c>
      <c r="R31" s="75">
        <f t="shared" si="10"/>
        <v>-4.6032781191633221E-3</v>
      </c>
      <c r="S31" s="75">
        <f t="shared" si="11"/>
        <v>-2.9280747713173604E-3</v>
      </c>
    </row>
    <row r="32" spans="1:19" x14ac:dyDescent="0.3">
      <c r="A32" s="42">
        <v>44896</v>
      </c>
      <c r="B32" s="15">
        <v>5758232</v>
      </c>
      <c r="C32" s="47">
        <v>392501</v>
      </c>
      <c r="D32" s="10">
        <v>424868</v>
      </c>
      <c r="E32" s="10">
        <v>256309</v>
      </c>
      <c r="F32" s="92">
        <v>467923</v>
      </c>
      <c r="G32" s="10">
        <v>6426</v>
      </c>
      <c r="H32" s="35">
        <v>4210205</v>
      </c>
      <c r="I32" s="18">
        <v>4334933</v>
      </c>
      <c r="J32" s="10">
        <v>1423299</v>
      </c>
      <c r="K32" s="18">
        <v>4210205</v>
      </c>
      <c r="L32" s="19">
        <v>53765</v>
      </c>
      <c r="M32" s="17">
        <v>4263970</v>
      </c>
      <c r="N32" s="75">
        <f t="shared" si="6"/>
        <v>-6.4019883822740245E-4</v>
      </c>
      <c r="O32" s="75">
        <f t="shared" si="7"/>
        <v>-1.2442013351072338E-2</v>
      </c>
      <c r="P32" s="75">
        <f t="shared" si="8"/>
        <v>-1.7699493292699868E-2</v>
      </c>
      <c r="Q32" s="75">
        <f t="shared" si="9"/>
        <v>-4.6685340802987861E-3</v>
      </c>
      <c r="R32" s="75">
        <f t="shared" si="10"/>
        <v>-6.6692714487774345E-3</v>
      </c>
      <c r="S32" s="75">
        <f t="shared" si="11"/>
        <v>-4.4900347940787086E-3</v>
      </c>
    </row>
    <row r="33" spans="1:19" x14ac:dyDescent="0.3">
      <c r="A33" s="42">
        <v>44866</v>
      </c>
      <c r="B33" s="15">
        <v>5719111</v>
      </c>
      <c r="C33" s="47">
        <v>390576</v>
      </c>
      <c r="D33" s="10">
        <v>425193</v>
      </c>
      <c r="E33" s="10">
        <v>252759</v>
      </c>
      <c r="F33" s="92">
        <v>462274</v>
      </c>
      <c r="G33" s="10">
        <v>6389</v>
      </c>
      <c r="H33" s="35">
        <v>4181920</v>
      </c>
      <c r="I33" s="18">
        <v>4315712</v>
      </c>
      <c r="J33" s="10">
        <v>1403399</v>
      </c>
      <c r="K33" s="18">
        <v>4181920</v>
      </c>
      <c r="L33" s="19">
        <v>58606</v>
      </c>
      <c r="M33" s="17">
        <v>4240526</v>
      </c>
      <c r="N33" s="75">
        <f t="shared" si="6"/>
        <v>7.6435877354519006E-4</v>
      </c>
      <c r="O33" s="75">
        <f t="shared" si="7"/>
        <v>-1.4044999386767633E-2</v>
      </c>
      <c r="P33" s="75">
        <f t="shared" si="8"/>
        <v>-1.2220025352929214E-2</v>
      </c>
      <c r="Q33" s="75">
        <f t="shared" si="9"/>
        <v>-5.7912036312411956E-3</v>
      </c>
      <c r="R33" s="75">
        <f t="shared" si="10"/>
        <v>-6.7636396679037376E-3</v>
      </c>
      <c r="S33" s="75">
        <f t="shared" si="11"/>
        <v>-4.4537262912817165E-3</v>
      </c>
    </row>
    <row r="34" spans="1:19" x14ac:dyDescent="0.3">
      <c r="A34" s="42">
        <v>44835</v>
      </c>
      <c r="B34" s="15">
        <v>5670777</v>
      </c>
      <c r="C34" s="47">
        <v>389080</v>
      </c>
      <c r="D34" s="10">
        <v>424696</v>
      </c>
      <c r="E34" s="10">
        <v>250234</v>
      </c>
      <c r="F34" s="92">
        <v>456417</v>
      </c>
      <c r="G34" s="10">
        <v>6365</v>
      </c>
      <c r="H34" s="35">
        <v>4143985</v>
      </c>
      <c r="I34" s="18">
        <v>4296025</v>
      </c>
      <c r="J34" s="10">
        <v>1374752</v>
      </c>
      <c r="K34" s="18">
        <v>4143985</v>
      </c>
      <c r="L34" s="19">
        <v>62951</v>
      </c>
      <c r="M34" s="17">
        <v>4206936</v>
      </c>
      <c r="N34" s="75">
        <f t="shared" si="6"/>
        <v>-1.1702488368150394E-3</v>
      </c>
      <c r="O34" s="75">
        <f t="shared" si="7"/>
        <v>-1.0090555240295083E-2</v>
      </c>
      <c r="P34" s="75">
        <f t="shared" si="8"/>
        <v>-1.2832563204262768E-2</v>
      </c>
      <c r="Q34" s="75">
        <f t="shared" si="9"/>
        <v>-3.7706205813040064E-3</v>
      </c>
      <c r="R34" s="75">
        <f t="shared" si="10"/>
        <v>-9.1542319771910369E-3</v>
      </c>
      <c r="S34" s="75">
        <f t="shared" si="11"/>
        <v>-4.5826083414319055E-3</v>
      </c>
    </row>
    <row r="35" spans="1:19" s="61" customFormat="1" x14ac:dyDescent="0.3">
      <c r="A35" s="62">
        <v>44805</v>
      </c>
      <c r="B35" s="20">
        <v>5630900</v>
      </c>
      <c r="C35" s="48">
        <v>387593</v>
      </c>
      <c r="D35" s="37">
        <v>424549</v>
      </c>
      <c r="E35" s="37">
        <v>246719</v>
      </c>
      <c r="F35" s="93">
        <v>449624</v>
      </c>
      <c r="G35" s="37">
        <v>6320</v>
      </c>
      <c r="H35" s="38">
        <v>4116095</v>
      </c>
      <c r="I35" s="23">
        <v>4275372</v>
      </c>
      <c r="J35" s="37">
        <v>1355528</v>
      </c>
      <c r="K35" s="23">
        <v>4116095</v>
      </c>
      <c r="L35" s="24">
        <v>64756</v>
      </c>
      <c r="M35" s="22">
        <v>4180851</v>
      </c>
      <c r="N35" s="75">
        <f t="shared" si="6"/>
        <v>-3.4624978506603478E-4</v>
      </c>
      <c r="O35" s="75">
        <f t="shared" si="7"/>
        <v>-1.4246977330485289E-2</v>
      </c>
      <c r="P35" s="75">
        <f t="shared" si="8"/>
        <v>-1.5108179278686192E-2</v>
      </c>
      <c r="Q35" s="75">
        <f t="shared" si="9"/>
        <v>-7.1202531645569618E-3</v>
      </c>
      <c r="R35" s="75">
        <f t="shared" si="10"/>
        <v>-6.775839721872309E-3</v>
      </c>
      <c r="S35" s="75">
        <f t="shared" si="11"/>
        <v>-4.8306907562663554E-3</v>
      </c>
    </row>
    <row r="36" spans="1:19" x14ac:dyDescent="0.3">
      <c r="A36" s="42">
        <v>44774</v>
      </c>
      <c r="B36" s="15">
        <v>5590344</v>
      </c>
      <c r="C36" s="47">
        <v>385837</v>
      </c>
      <c r="D36" s="10">
        <v>424405</v>
      </c>
      <c r="E36" s="10">
        <v>243246</v>
      </c>
      <c r="F36" s="92">
        <v>442608</v>
      </c>
      <c r="G36" s="10">
        <v>6300</v>
      </c>
      <c r="H36" s="35">
        <v>4087948</v>
      </c>
      <c r="I36" s="18">
        <v>4253872</v>
      </c>
      <c r="J36" s="10">
        <v>1336472</v>
      </c>
      <c r="K36" s="18">
        <v>4087948</v>
      </c>
      <c r="L36" s="19">
        <v>66625</v>
      </c>
      <c r="M36" s="17">
        <v>4154573</v>
      </c>
      <c r="N36" s="75">
        <f t="shared" si="6"/>
        <v>-3.3929854737809405E-4</v>
      </c>
      <c r="O36" s="75">
        <f t="shared" si="7"/>
        <v>-1.427772707464871E-2</v>
      </c>
      <c r="P36" s="75">
        <f t="shared" si="8"/>
        <v>-1.585149839135307E-2</v>
      </c>
      <c r="Q36" s="75">
        <f t="shared" si="9"/>
        <v>-3.1746031746031746E-3</v>
      </c>
      <c r="R36" s="75">
        <f t="shared" si="10"/>
        <v>-6.8853615554796688E-3</v>
      </c>
      <c r="S36" s="75">
        <f t="shared" si="11"/>
        <v>-5.0542188387426796E-3</v>
      </c>
    </row>
    <row r="37" spans="1:19" x14ac:dyDescent="0.3">
      <c r="A37" s="42">
        <v>44743</v>
      </c>
      <c r="B37" s="15">
        <v>5543480</v>
      </c>
      <c r="C37" s="47">
        <v>383680</v>
      </c>
      <c r="D37" s="10">
        <v>424187</v>
      </c>
      <c r="E37" s="10">
        <v>239326</v>
      </c>
      <c r="F37" s="92">
        <v>434646</v>
      </c>
      <c r="G37" s="10">
        <v>6255</v>
      </c>
      <c r="H37" s="35">
        <v>4055386</v>
      </c>
      <c r="I37" s="18">
        <v>4227445</v>
      </c>
      <c r="J37" s="10">
        <v>1316035</v>
      </c>
      <c r="K37" s="18">
        <v>4055386</v>
      </c>
      <c r="L37" s="19">
        <v>69594</v>
      </c>
      <c r="M37" s="17">
        <v>4124980</v>
      </c>
      <c r="N37" s="75">
        <f t="shared" si="6"/>
        <v>-5.1392428339388054E-4</v>
      </c>
      <c r="O37" s="75">
        <f t="shared" si="7"/>
        <v>-1.6379331957246602E-2</v>
      </c>
      <c r="P37" s="75">
        <f t="shared" si="8"/>
        <v>-1.831835562733811E-2</v>
      </c>
      <c r="Q37" s="75">
        <f t="shared" si="9"/>
        <v>-7.1942446043165471E-3</v>
      </c>
      <c r="R37" s="75">
        <f t="shared" si="10"/>
        <v>-8.0293219930235981E-3</v>
      </c>
      <c r="S37" s="75">
        <f t="shared" si="11"/>
        <v>-6.2512936300767961E-3</v>
      </c>
    </row>
    <row r="38" spans="1:19" x14ac:dyDescent="0.3">
      <c r="A38" s="42">
        <v>44713</v>
      </c>
      <c r="B38" s="15">
        <v>5500619</v>
      </c>
      <c r="C38" s="47">
        <v>381531</v>
      </c>
      <c r="D38" s="10">
        <v>424066</v>
      </c>
      <c r="E38" s="10">
        <v>235045</v>
      </c>
      <c r="F38" s="92">
        <v>427186</v>
      </c>
      <c r="G38" s="10">
        <v>6209</v>
      </c>
      <c r="H38" s="35">
        <v>4026582</v>
      </c>
      <c r="I38" s="18">
        <v>4204361</v>
      </c>
      <c r="J38" s="10">
        <v>1296258</v>
      </c>
      <c r="K38" s="18">
        <v>4026582</v>
      </c>
      <c r="L38" s="19">
        <v>73227</v>
      </c>
      <c r="M38" s="17">
        <v>4099809</v>
      </c>
      <c r="N38" s="75">
        <f t="shared" si="6"/>
        <v>-2.8533294345691471E-4</v>
      </c>
      <c r="O38" s="75">
        <f t="shared" si="7"/>
        <v>-1.8213533578676423E-2</v>
      </c>
      <c r="P38" s="75">
        <f t="shared" si="8"/>
        <v>-1.7463119109708651E-2</v>
      </c>
      <c r="Q38" s="75">
        <f t="shared" si="9"/>
        <v>-7.4086004187469802E-3</v>
      </c>
      <c r="R38" s="75">
        <f t="shared" si="10"/>
        <v>-7.153461670468899E-3</v>
      </c>
      <c r="S38" s="75">
        <f t="shared" si="11"/>
        <v>-5.4904895179077153E-3</v>
      </c>
    </row>
    <row r="39" spans="1:19" x14ac:dyDescent="0.3">
      <c r="A39" s="42">
        <v>44682</v>
      </c>
      <c r="B39" s="15">
        <v>5460111</v>
      </c>
      <c r="C39" s="47">
        <v>379832</v>
      </c>
      <c r="D39" s="10">
        <v>423601</v>
      </c>
      <c r="E39" s="10">
        <v>230301</v>
      </c>
      <c r="F39" s="92">
        <v>420262</v>
      </c>
      <c r="G39" s="10">
        <v>6166</v>
      </c>
      <c r="H39" s="35">
        <v>3999949</v>
      </c>
      <c r="I39" s="18">
        <v>4182409</v>
      </c>
      <c r="J39" s="10">
        <v>1277702</v>
      </c>
      <c r="K39" s="18">
        <v>3999949</v>
      </c>
      <c r="L39" s="19">
        <v>74910</v>
      </c>
      <c r="M39" s="17">
        <v>4074859</v>
      </c>
      <c r="N39" s="75">
        <f t="shared" si="6"/>
        <v>-1.0977311196149206E-3</v>
      </c>
      <c r="O39" s="75">
        <f t="shared" si="7"/>
        <v>-2.0599128966005357E-2</v>
      </c>
      <c r="P39" s="75">
        <f t="shared" si="8"/>
        <v>-1.6475436751359866E-2</v>
      </c>
      <c r="Q39" s="75">
        <f t="shared" si="9"/>
        <v>-6.9737268893934482E-3</v>
      </c>
      <c r="R39" s="75">
        <f t="shared" si="10"/>
        <v>-6.6583348937698959E-3</v>
      </c>
      <c r="S39" s="75">
        <f t="shared" si="11"/>
        <v>-5.2486497614174033E-3</v>
      </c>
    </row>
    <row r="40" spans="1:19" x14ac:dyDescent="0.3">
      <c r="A40" s="42">
        <v>44652</v>
      </c>
      <c r="B40" s="15">
        <v>5420189</v>
      </c>
      <c r="C40" s="47">
        <v>378517</v>
      </c>
      <c r="D40" s="10">
        <v>423209</v>
      </c>
      <c r="E40" s="10">
        <v>225859</v>
      </c>
      <c r="F40" s="92">
        <v>412610</v>
      </c>
      <c r="G40" s="10">
        <v>6148</v>
      </c>
      <c r="H40" s="35">
        <v>3973846</v>
      </c>
      <c r="I40" s="18">
        <v>4160909</v>
      </c>
      <c r="J40" s="10">
        <v>1259280</v>
      </c>
      <c r="K40" s="18">
        <v>3973846</v>
      </c>
      <c r="L40" s="19">
        <v>78615</v>
      </c>
      <c r="M40" s="17">
        <v>4052461</v>
      </c>
      <c r="N40" s="75">
        <f t="shared" si="6"/>
        <v>-9.2625629417143773E-4</v>
      </c>
      <c r="O40" s="75">
        <f t="shared" si="7"/>
        <v>-1.9667137461867802E-2</v>
      </c>
      <c r="P40" s="44"/>
      <c r="Q40" s="74"/>
      <c r="R40" s="44"/>
      <c r="S40" s="45"/>
    </row>
    <row r="41" spans="1:19" x14ac:dyDescent="0.3">
      <c r="A41" s="42">
        <v>44621</v>
      </c>
      <c r="B41" s="15">
        <v>5319039</v>
      </c>
      <c r="C41" s="47">
        <v>377073</v>
      </c>
      <c r="D41" s="10">
        <v>421564</v>
      </c>
      <c r="E41" s="10">
        <v>218102</v>
      </c>
      <c r="F41" s="92">
        <v>402680</v>
      </c>
      <c r="G41" s="10">
        <v>6098</v>
      </c>
      <c r="H41" s="35">
        <v>3893522</v>
      </c>
      <c r="I41" s="18">
        <v>4082744</v>
      </c>
      <c r="J41" s="10">
        <v>1236295</v>
      </c>
      <c r="K41" s="18">
        <v>3893522</v>
      </c>
      <c r="L41" s="19">
        <v>81101</v>
      </c>
      <c r="M41" s="17">
        <v>3974623</v>
      </c>
      <c r="N41" s="75">
        <f t="shared" si="6"/>
        <v>-3.9021358560028846E-3</v>
      </c>
      <c r="O41" s="75">
        <f t="shared" si="7"/>
        <v>-3.5565927868611937E-2</v>
      </c>
      <c r="P41" s="44"/>
      <c r="Q41" s="74"/>
      <c r="R41" s="44"/>
      <c r="S41" s="45"/>
    </row>
    <row r="42" spans="1:19" x14ac:dyDescent="0.3">
      <c r="A42" s="42">
        <v>44593</v>
      </c>
      <c r="B42" s="15">
        <v>5264344</v>
      </c>
      <c r="C42" s="47">
        <v>376337</v>
      </c>
      <c r="D42" s="10">
        <v>421708</v>
      </c>
      <c r="E42" s="10">
        <v>213023</v>
      </c>
      <c r="F42" s="92">
        <v>393216</v>
      </c>
      <c r="G42" s="10">
        <v>6062</v>
      </c>
      <c r="H42" s="35">
        <v>3853998</v>
      </c>
      <c r="I42" s="18">
        <v>4047203</v>
      </c>
      <c r="J42" s="10">
        <v>1217141</v>
      </c>
      <c r="K42" s="18">
        <v>3853998</v>
      </c>
      <c r="L42" s="19">
        <v>89791</v>
      </c>
      <c r="M42" s="17">
        <v>3943789</v>
      </c>
      <c r="N42" s="75">
        <f t="shared" si="6"/>
        <v>3.4146850427309891E-4</v>
      </c>
      <c r="O42" s="75">
        <f t="shared" si="7"/>
        <v>-2.3842495880726493E-2</v>
      </c>
      <c r="P42" s="44"/>
      <c r="Q42" s="74"/>
      <c r="R42" s="44"/>
      <c r="S42" s="45"/>
    </row>
    <row r="43" spans="1:19" x14ac:dyDescent="0.3">
      <c r="A43" s="42">
        <v>44562</v>
      </c>
      <c r="B43" s="15">
        <v>5225004</v>
      </c>
      <c r="C43" s="47">
        <v>376708</v>
      </c>
      <c r="D43" s="10">
        <v>421615</v>
      </c>
      <c r="E43" s="10">
        <v>208552</v>
      </c>
      <c r="F43" s="92">
        <v>385751</v>
      </c>
      <c r="G43" s="10">
        <v>6025</v>
      </c>
      <c r="H43" s="35">
        <v>3826353</v>
      </c>
      <c r="I43" s="18">
        <v>4019662</v>
      </c>
      <c r="J43" s="10">
        <v>1205342</v>
      </c>
      <c r="K43" s="18">
        <v>3826353</v>
      </c>
      <c r="L43" s="19">
        <v>89455</v>
      </c>
      <c r="M43" s="17">
        <v>3915808</v>
      </c>
      <c r="N43" s="10"/>
      <c r="O43" s="10"/>
      <c r="P43" s="44"/>
      <c r="Q43" s="74"/>
      <c r="R43" s="44"/>
      <c r="S43" s="45"/>
    </row>
    <row r="44" spans="1:19" x14ac:dyDescent="0.3">
      <c r="A44" s="42">
        <v>44531</v>
      </c>
      <c r="B44" s="15">
        <v>5174224</v>
      </c>
      <c r="C44" s="47">
        <v>376006</v>
      </c>
      <c r="D44" s="10">
        <v>421726</v>
      </c>
      <c r="E44" s="10">
        <v>203140</v>
      </c>
      <c r="F44" s="92">
        <v>375920</v>
      </c>
      <c r="G44" s="10">
        <v>5986</v>
      </c>
      <c r="H44" s="35">
        <v>3791446</v>
      </c>
      <c r="I44" s="18">
        <v>3985159</v>
      </c>
      <c r="J44" s="10">
        <v>1189065</v>
      </c>
      <c r="K44" s="18">
        <v>3791446</v>
      </c>
      <c r="L44" s="19">
        <v>101381</v>
      </c>
      <c r="M44" s="17">
        <v>3892827</v>
      </c>
      <c r="N44" s="10"/>
      <c r="O44" s="10"/>
      <c r="P44" s="44"/>
      <c r="Q44" s="74"/>
      <c r="R44" s="44"/>
      <c r="S44" s="45"/>
    </row>
    <row r="45" spans="1:19" x14ac:dyDescent="0.3">
      <c r="A45" s="42">
        <v>44501</v>
      </c>
      <c r="B45" s="15">
        <v>5129556</v>
      </c>
      <c r="C45" s="47">
        <v>375007</v>
      </c>
      <c r="D45" s="10">
        <v>421687</v>
      </c>
      <c r="E45" s="10">
        <v>198319</v>
      </c>
      <c r="F45" s="92">
        <v>368049</v>
      </c>
      <c r="G45" s="10">
        <v>5936</v>
      </c>
      <c r="H45" s="35">
        <v>3760558</v>
      </c>
      <c r="I45" s="18">
        <v>3954781</v>
      </c>
      <c r="J45" s="10">
        <v>1174775</v>
      </c>
      <c r="K45" s="18">
        <v>3760558</v>
      </c>
      <c r="L45" s="19">
        <v>123120</v>
      </c>
      <c r="M45" s="17">
        <v>3883678</v>
      </c>
      <c r="N45" s="10"/>
      <c r="O45" s="10"/>
      <c r="P45" s="44"/>
      <c r="Q45" s="74"/>
      <c r="R45" s="44"/>
      <c r="S45" s="45"/>
    </row>
    <row r="46" spans="1:19" x14ac:dyDescent="0.3">
      <c r="A46" s="42">
        <v>44470</v>
      </c>
      <c r="B46" s="15">
        <v>5077926</v>
      </c>
      <c r="C46" s="47">
        <v>373919</v>
      </c>
      <c r="D46" s="10">
        <v>421576</v>
      </c>
      <c r="E46" s="10">
        <v>193858</v>
      </c>
      <c r="F46" s="92">
        <v>359452</v>
      </c>
      <c r="G46" s="10">
        <v>5922</v>
      </c>
      <c r="H46" s="35">
        <v>3723199</v>
      </c>
      <c r="I46" s="18">
        <v>3917794</v>
      </c>
      <c r="J46" s="10">
        <v>1160132</v>
      </c>
      <c r="K46" s="18">
        <v>3723199</v>
      </c>
      <c r="L46" s="19">
        <v>164056</v>
      </c>
      <c r="M46" s="17">
        <v>3887255</v>
      </c>
      <c r="N46" s="10"/>
      <c r="O46" s="10"/>
      <c r="P46" s="44"/>
      <c r="Q46" s="74"/>
      <c r="R46" s="44"/>
      <c r="S46" s="45"/>
    </row>
    <row r="47" spans="1:19" x14ac:dyDescent="0.3">
      <c r="A47" s="42">
        <v>44440</v>
      </c>
      <c r="B47" s="15">
        <v>5031671</v>
      </c>
      <c r="C47" s="47">
        <v>373312</v>
      </c>
      <c r="D47" s="10">
        <v>421591</v>
      </c>
      <c r="E47" s="10">
        <v>189082</v>
      </c>
      <c r="F47" s="92">
        <v>351727</v>
      </c>
      <c r="G47" s="10">
        <v>5875</v>
      </c>
      <c r="H47" s="35">
        <v>3690084</v>
      </c>
      <c r="I47" s="18">
        <v>3885070</v>
      </c>
      <c r="J47" s="10">
        <v>1146601</v>
      </c>
      <c r="K47" s="18">
        <v>3690084</v>
      </c>
      <c r="L47" s="19">
        <v>175776</v>
      </c>
      <c r="M47" s="17">
        <v>3865860</v>
      </c>
      <c r="N47" s="10"/>
      <c r="O47" s="10"/>
      <c r="P47" s="76"/>
      <c r="Q47" s="74"/>
      <c r="R47" s="44"/>
      <c r="S47" s="45"/>
    </row>
    <row r="48" spans="1:19" x14ac:dyDescent="0.3">
      <c r="A48" s="63">
        <v>44409</v>
      </c>
      <c r="B48" s="54">
        <v>4983997</v>
      </c>
      <c r="C48" s="55">
        <v>372617</v>
      </c>
      <c r="D48" s="56">
        <v>421091</v>
      </c>
      <c r="E48" s="56">
        <v>184471</v>
      </c>
      <c r="F48" s="94">
        <v>343793</v>
      </c>
      <c r="G48" s="56">
        <v>5825</v>
      </c>
      <c r="H48" s="57">
        <v>3656200</v>
      </c>
      <c r="I48" s="58">
        <v>3851226</v>
      </c>
      <c r="J48" s="56">
        <v>1132771</v>
      </c>
      <c r="K48" s="58">
        <v>3656200</v>
      </c>
      <c r="L48" s="59">
        <v>185577</v>
      </c>
      <c r="M48" s="60">
        <v>3841777</v>
      </c>
      <c r="N48" s="10"/>
      <c r="O48" s="10"/>
      <c r="P48" s="76"/>
      <c r="Q48" s="74"/>
      <c r="R48" s="44"/>
      <c r="S48" s="45"/>
    </row>
    <row r="49" spans="1:19" x14ac:dyDescent="0.3">
      <c r="A49" s="42">
        <v>44378</v>
      </c>
      <c r="B49" s="15">
        <v>4928655</v>
      </c>
      <c r="C49" s="47">
        <v>371308</v>
      </c>
      <c r="D49" s="10">
        <v>420342</v>
      </c>
      <c r="E49" s="10">
        <v>179199</v>
      </c>
      <c r="F49" s="92">
        <v>334707</v>
      </c>
      <c r="G49" s="10">
        <v>5771</v>
      </c>
      <c r="H49" s="35">
        <v>3617328</v>
      </c>
      <c r="I49" s="18">
        <v>3812700</v>
      </c>
      <c r="J49" s="10">
        <v>1115955</v>
      </c>
      <c r="K49" s="18">
        <v>3617328</v>
      </c>
      <c r="L49" s="19">
        <v>192711</v>
      </c>
      <c r="M49" s="17">
        <v>3810039</v>
      </c>
      <c r="N49" s="10"/>
      <c r="O49" s="10"/>
      <c r="P49" s="76"/>
      <c r="Q49" s="74"/>
      <c r="R49" s="44"/>
      <c r="S49" s="45"/>
    </row>
    <row r="50" spans="1:19" x14ac:dyDescent="0.3">
      <c r="A50" s="42">
        <v>44348</v>
      </c>
      <c r="B50" s="15">
        <v>4875920</v>
      </c>
      <c r="C50" s="47">
        <v>369673</v>
      </c>
      <c r="D50" s="10">
        <v>419643</v>
      </c>
      <c r="E50" s="10">
        <v>174325</v>
      </c>
      <c r="F50" s="92">
        <v>325793</v>
      </c>
      <c r="G50" s="10">
        <v>5728</v>
      </c>
      <c r="H50" s="35">
        <v>3580758</v>
      </c>
      <c r="I50" s="18">
        <v>3776203</v>
      </c>
      <c r="J50" s="10">
        <v>1099717</v>
      </c>
      <c r="K50" s="18">
        <v>3580758</v>
      </c>
      <c r="L50" s="19">
        <v>200788</v>
      </c>
      <c r="M50" s="17">
        <v>3781546</v>
      </c>
      <c r="N50" s="10"/>
      <c r="O50" s="10"/>
      <c r="P50" s="76"/>
      <c r="Q50" s="74"/>
      <c r="R50" s="44"/>
      <c r="S50" s="45"/>
    </row>
    <row r="51" spans="1:19" x14ac:dyDescent="0.3">
      <c r="A51" s="42">
        <v>44317</v>
      </c>
      <c r="B51" s="15">
        <v>4826914</v>
      </c>
      <c r="C51" s="47">
        <v>368446</v>
      </c>
      <c r="D51" s="10">
        <v>419136</v>
      </c>
      <c r="E51" s="10">
        <v>170706</v>
      </c>
      <c r="F51" s="92">
        <v>316084</v>
      </c>
      <c r="G51" s="10">
        <v>5691</v>
      </c>
      <c r="H51" s="35">
        <v>3546851</v>
      </c>
      <c r="I51" s="18">
        <v>3742253</v>
      </c>
      <c r="J51" s="10">
        <v>1084661</v>
      </c>
      <c r="K51" s="18">
        <v>3546851</v>
      </c>
      <c r="L51" s="19">
        <v>205675</v>
      </c>
      <c r="M51" s="17">
        <v>3752526</v>
      </c>
      <c r="N51" s="10"/>
      <c r="O51" s="10"/>
      <c r="P51" s="76"/>
      <c r="Q51" s="74"/>
      <c r="R51" s="44"/>
      <c r="S51" s="45"/>
    </row>
    <row r="52" spans="1:19" x14ac:dyDescent="0.3">
      <c r="A52" s="42">
        <v>44287</v>
      </c>
      <c r="B52" s="15">
        <v>4779686</v>
      </c>
      <c r="C52" s="47">
        <v>367408</v>
      </c>
      <c r="D52" s="10">
        <v>418445</v>
      </c>
      <c r="E52" s="10">
        <v>167280</v>
      </c>
      <c r="F52" s="92">
        <v>306782</v>
      </c>
      <c r="G52" s="10">
        <v>5662</v>
      </c>
      <c r="H52" s="35">
        <v>3514109</v>
      </c>
      <c r="I52" s="18">
        <v>3709220</v>
      </c>
      <c r="J52" s="10">
        <v>1070466</v>
      </c>
      <c r="K52" s="18">
        <v>3514109</v>
      </c>
      <c r="L52" s="19">
        <v>209826</v>
      </c>
      <c r="M52" s="17">
        <v>3723935</v>
      </c>
      <c r="N52" s="10"/>
      <c r="O52" s="10"/>
      <c r="P52" s="76"/>
      <c r="Q52" s="74"/>
      <c r="R52" s="44"/>
      <c r="S52" s="45"/>
    </row>
    <row r="53" spans="1:19" x14ac:dyDescent="0.3">
      <c r="A53" s="42">
        <v>44256</v>
      </c>
      <c r="B53" s="15">
        <v>4726960</v>
      </c>
      <c r="C53" s="47">
        <v>366662</v>
      </c>
      <c r="D53" s="10">
        <v>417811</v>
      </c>
      <c r="E53" s="10">
        <v>163839</v>
      </c>
      <c r="F53" s="92">
        <v>295174</v>
      </c>
      <c r="G53" s="10">
        <v>5627</v>
      </c>
      <c r="H53" s="35">
        <v>3477847</v>
      </c>
      <c r="I53" s="18">
        <v>3672021</v>
      </c>
      <c r="J53" s="10">
        <v>1054939</v>
      </c>
      <c r="K53" s="18">
        <v>3477847</v>
      </c>
      <c r="L53" s="19">
        <v>216816</v>
      </c>
      <c r="M53" s="17">
        <v>3694663</v>
      </c>
      <c r="N53" s="10"/>
      <c r="O53" s="10"/>
      <c r="P53" s="76"/>
      <c r="Q53" s="74"/>
      <c r="R53" s="44"/>
      <c r="S53" s="45"/>
    </row>
    <row r="54" spans="1:19" x14ac:dyDescent="0.3">
      <c r="A54" s="42">
        <v>44228</v>
      </c>
      <c r="B54" s="15">
        <v>4660318</v>
      </c>
      <c r="C54" s="47">
        <v>366347</v>
      </c>
      <c r="D54" s="10">
        <v>417289</v>
      </c>
      <c r="E54" s="10">
        <v>164548</v>
      </c>
      <c r="F54" s="92">
        <v>281900</v>
      </c>
      <c r="G54" s="10">
        <v>5572</v>
      </c>
      <c r="H54" s="35">
        <v>3424662</v>
      </c>
      <c r="I54" s="18">
        <v>3621501</v>
      </c>
      <c r="J54" s="10">
        <v>1038817</v>
      </c>
      <c r="K54" s="18">
        <v>3424662</v>
      </c>
      <c r="L54" s="19">
        <v>238195</v>
      </c>
      <c r="M54" s="17">
        <v>3662857</v>
      </c>
      <c r="N54" s="10"/>
      <c r="O54" s="10"/>
      <c r="P54" s="76"/>
      <c r="Q54" s="74"/>
      <c r="R54" s="44"/>
      <c r="S54" s="45"/>
    </row>
    <row r="55" spans="1:19" x14ac:dyDescent="0.3">
      <c r="A55" s="42">
        <v>44197</v>
      </c>
      <c r="B55" s="15">
        <v>4614460</v>
      </c>
      <c r="C55" s="47">
        <v>367927</v>
      </c>
      <c r="D55" s="10">
        <v>416576</v>
      </c>
      <c r="E55" s="10">
        <v>162668</v>
      </c>
      <c r="F55" s="92">
        <v>271236</v>
      </c>
      <c r="G55" s="10">
        <v>5532</v>
      </c>
      <c r="H55" s="35">
        <v>3390521</v>
      </c>
      <c r="I55" s="18">
        <v>3586410</v>
      </c>
      <c r="J55" s="10">
        <v>1028050</v>
      </c>
      <c r="K55" s="18">
        <v>3390521</v>
      </c>
      <c r="L55" s="19">
        <v>250128</v>
      </c>
      <c r="M55" s="17">
        <v>3640649</v>
      </c>
      <c r="N55" s="10"/>
      <c r="O55" s="10"/>
      <c r="P55" s="76"/>
      <c r="Q55" s="74"/>
      <c r="R55" s="44"/>
      <c r="S55" s="45"/>
    </row>
    <row r="56" spans="1:19" x14ac:dyDescent="0.3">
      <c r="A56" s="42">
        <v>44166</v>
      </c>
      <c r="B56" s="15">
        <v>4554265</v>
      </c>
      <c r="C56" s="47">
        <v>369089</v>
      </c>
      <c r="D56" s="10">
        <v>415832</v>
      </c>
      <c r="E56" s="10">
        <v>159730</v>
      </c>
      <c r="F56" s="92">
        <v>255897</v>
      </c>
      <c r="G56" s="10">
        <v>5490</v>
      </c>
      <c r="H56" s="35">
        <v>3348227</v>
      </c>
      <c r="I56" s="18">
        <v>3542879</v>
      </c>
      <c r="J56" s="10">
        <v>1011386</v>
      </c>
      <c r="K56" s="18">
        <v>3348227</v>
      </c>
      <c r="L56" s="19">
        <v>266193</v>
      </c>
      <c r="M56" s="17">
        <v>3614420</v>
      </c>
      <c r="N56" s="10"/>
      <c r="O56" s="10"/>
      <c r="P56" s="76"/>
      <c r="Q56" s="74"/>
      <c r="R56" s="44"/>
      <c r="S56" s="45"/>
    </row>
    <row r="57" spans="1:19" x14ac:dyDescent="0.3">
      <c r="A57" s="42">
        <v>44136</v>
      </c>
      <c r="B57" s="15">
        <v>4476944</v>
      </c>
      <c r="C57" s="47">
        <v>369741</v>
      </c>
      <c r="D57" s="10">
        <v>414825</v>
      </c>
      <c r="E57" s="10">
        <v>157378</v>
      </c>
      <c r="F57" s="92">
        <v>242945</v>
      </c>
      <c r="G57" s="10">
        <v>5453</v>
      </c>
      <c r="H57" s="35">
        <v>3286602</v>
      </c>
      <c r="I57" s="18">
        <v>3480039</v>
      </c>
      <c r="J57" s="10">
        <v>996905</v>
      </c>
      <c r="K57" s="18">
        <v>3286602</v>
      </c>
      <c r="L57" s="19">
        <v>293932</v>
      </c>
      <c r="M57" s="17">
        <v>3580534</v>
      </c>
      <c r="N57" s="10"/>
      <c r="O57" s="10"/>
      <c r="P57" s="76"/>
      <c r="Q57" s="74"/>
      <c r="R57" s="44"/>
      <c r="S57" s="45"/>
    </row>
    <row r="58" spans="1:19" x14ac:dyDescent="0.3">
      <c r="A58" s="42">
        <v>44105</v>
      </c>
      <c r="B58" s="15">
        <v>4416438</v>
      </c>
      <c r="C58" s="47">
        <v>370278</v>
      </c>
      <c r="D58" s="10">
        <v>413601</v>
      </c>
      <c r="E58" s="10">
        <v>154482</v>
      </c>
      <c r="F58" s="92">
        <v>230955</v>
      </c>
      <c r="G58" s="10">
        <v>5392</v>
      </c>
      <c r="H58" s="35">
        <v>3241730</v>
      </c>
      <c r="I58" s="18">
        <v>3433870</v>
      </c>
      <c r="J58" s="10">
        <v>982568</v>
      </c>
      <c r="K58" s="18">
        <v>3241730</v>
      </c>
      <c r="L58" s="19">
        <v>298972</v>
      </c>
      <c r="M58" s="17">
        <v>3540702</v>
      </c>
      <c r="N58" s="10"/>
      <c r="O58" s="10"/>
      <c r="P58" s="76"/>
      <c r="Q58" s="44"/>
      <c r="R58" s="44"/>
      <c r="S58" s="45"/>
    </row>
    <row r="59" spans="1:19" x14ac:dyDescent="0.3">
      <c r="A59" s="62">
        <v>44075</v>
      </c>
      <c r="B59" s="20">
        <v>4349274</v>
      </c>
      <c r="C59" s="48">
        <v>370387</v>
      </c>
      <c r="D59" s="37">
        <v>412697</v>
      </c>
      <c r="E59" s="37">
        <v>151378</v>
      </c>
      <c r="F59" s="93">
        <v>218946</v>
      </c>
      <c r="G59" s="37">
        <v>5285</v>
      </c>
      <c r="H59" s="38">
        <v>3190581</v>
      </c>
      <c r="I59" s="23">
        <v>3381582</v>
      </c>
      <c r="J59" s="37">
        <v>967692</v>
      </c>
      <c r="K59" s="23">
        <v>3190581</v>
      </c>
      <c r="L59" s="24">
        <v>307372</v>
      </c>
      <c r="M59" s="22">
        <v>3497953</v>
      </c>
      <c r="N59" s="10"/>
      <c r="O59" s="10"/>
      <c r="P59" s="76"/>
      <c r="Q59" s="74"/>
      <c r="R59" s="44"/>
      <c r="S59" s="45"/>
    </row>
    <row r="60" spans="1:19" x14ac:dyDescent="0.3">
      <c r="A60" s="42">
        <v>44044</v>
      </c>
      <c r="B60" s="15">
        <v>4288522</v>
      </c>
      <c r="C60" s="47">
        <v>371579</v>
      </c>
      <c r="D60" s="10">
        <v>411717</v>
      </c>
      <c r="E60" s="10">
        <v>148914</v>
      </c>
      <c r="F60" s="92">
        <v>206454</v>
      </c>
      <c r="G60" s="10">
        <v>5192</v>
      </c>
      <c r="H60" s="35">
        <v>3144666</v>
      </c>
      <c r="I60" s="18">
        <v>3333989</v>
      </c>
      <c r="J60" s="10">
        <v>954533</v>
      </c>
      <c r="K60" s="18">
        <v>3144666</v>
      </c>
      <c r="L60" s="19">
        <v>314084</v>
      </c>
      <c r="M60" s="17">
        <v>3458750</v>
      </c>
      <c r="N60" s="10"/>
      <c r="O60" s="10"/>
      <c r="P60" s="76"/>
      <c r="Q60" s="74"/>
      <c r="R60" s="44"/>
      <c r="S60" s="45"/>
    </row>
    <row r="61" spans="1:19" x14ac:dyDescent="0.3">
      <c r="A61" s="42">
        <v>44013</v>
      </c>
      <c r="B61" s="15">
        <v>4222317</v>
      </c>
      <c r="C61" s="47">
        <v>373435</v>
      </c>
      <c r="D61" s="10">
        <v>410889</v>
      </c>
      <c r="E61" s="10">
        <v>145937</v>
      </c>
      <c r="F61" s="92">
        <v>193644</v>
      </c>
      <c r="G61" s="10">
        <v>5098</v>
      </c>
      <c r="H61" s="35">
        <v>3093314</v>
      </c>
      <c r="I61" s="18">
        <v>3281045</v>
      </c>
      <c r="J61" s="10">
        <v>941272</v>
      </c>
      <c r="K61" s="18">
        <v>3093314</v>
      </c>
      <c r="L61" s="19">
        <v>317392</v>
      </c>
      <c r="M61" s="17">
        <v>3410706</v>
      </c>
      <c r="N61" s="10"/>
      <c r="O61" s="10"/>
      <c r="P61" s="76"/>
      <c r="Q61" s="44"/>
      <c r="R61" s="44"/>
      <c r="S61" s="45"/>
    </row>
    <row r="62" spans="1:19" x14ac:dyDescent="0.3">
      <c r="A62" s="42">
        <v>43983</v>
      </c>
      <c r="B62" s="15">
        <v>4152917</v>
      </c>
      <c r="C62" s="47">
        <v>373266</v>
      </c>
      <c r="D62" s="10">
        <v>409327</v>
      </c>
      <c r="E62" s="10">
        <v>142939</v>
      </c>
      <c r="F62" s="92">
        <v>179665</v>
      </c>
      <c r="G62" s="10">
        <v>5041</v>
      </c>
      <c r="H62" s="35">
        <v>3042679</v>
      </c>
      <c r="I62" s="18">
        <v>3228158</v>
      </c>
      <c r="J62" s="10">
        <v>924759</v>
      </c>
      <c r="K62" s="18">
        <v>3042679</v>
      </c>
      <c r="L62" s="19">
        <v>320789</v>
      </c>
      <c r="M62" s="17">
        <v>3363468</v>
      </c>
      <c r="N62" s="10"/>
      <c r="O62" s="10"/>
      <c r="P62" s="76"/>
      <c r="Q62" s="44"/>
      <c r="R62" s="44"/>
      <c r="S62" s="45"/>
    </row>
    <row r="63" spans="1:19" x14ac:dyDescent="0.3">
      <c r="A63" s="42">
        <v>43952</v>
      </c>
      <c r="B63" s="15">
        <v>4076440</v>
      </c>
      <c r="C63" s="47">
        <v>373019</v>
      </c>
      <c r="D63" s="10">
        <v>407694</v>
      </c>
      <c r="E63" s="10">
        <v>139139</v>
      </c>
      <c r="F63" s="92">
        <v>165355</v>
      </c>
      <c r="G63" s="10">
        <v>4970</v>
      </c>
      <c r="H63" s="35">
        <v>2986263</v>
      </c>
      <c r="I63" s="18">
        <v>3169422</v>
      </c>
      <c r="J63" s="10">
        <v>907018</v>
      </c>
      <c r="K63" s="18">
        <v>2986263</v>
      </c>
      <c r="L63" s="19">
        <v>325066</v>
      </c>
      <c r="M63" s="17">
        <v>3311329</v>
      </c>
      <c r="N63" s="10"/>
      <c r="O63" s="10"/>
      <c r="P63" s="76"/>
      <c r="Q63" s="44"/>
      <c r="R63" s="44"/>
      <c r="S63" s="45"/>
    </row>
    <row r="64" spans="1:19" x14ac:dyDescent="0.3">
      <c r="A64" s="42">
        <v>43922</v>
      </c>
      <c r="B64" s="15">
        <v>3991412</v>
      </c>
      <c r="C64" s="47">
        <v>373005</v>
      </c>
      <c r="D64" s="10">
        <v>405667</v>
      </c>
      <c r="E64" s="10">
        <v>133983</v>
      </c>
      <c r="F64" s="92">
        <v>151803</v>
      </c>
      <c r="G64" s="10">
        <v>4894</v>
      </c>
      <c r="H64" s="35">
        <v>2922060</v>
      </c>
      <c r="I64" s="18">
        <v>3102846</v>
      </c>
      <c r="J64" s="10">
        <v>888566</v>
      </c>
      <c r="K64" s="18">
        <v>2922060</v>
      </c>
      <c r="L64" s="19">
        <v>330978</v>
      </c>
      <c r="M64" s="17">
        <v>3253038</v>
      </c>
      <c r="N64" s="10"/>
      <c r="O64" s="10"/>
      <c r="P64" s="76"/>
      <c r="Q64" s="44"/>
      <c r="R64" s="44"/>
      <c r="S64" s="45"/>
    </row>
    <row r="65" spans="1:19" x14ac:dyDescent="0.3">
      <c r="A65" s="42">
        <v>43891</v>
      </c>
      <c r="B65" s="15">
        <v>3869605</v>
      </c>
      <c r="C65" s="47">
        <v>372693</v>
      </c>
      <c r="D65" s="10">
        <v>403213</v>
      </c>
      <c r="E65" s="10">
        <v>123517</v>
      </c>
      <c r="F65" s="92">
        <v>136617</v>
      </c>
      <c r="G65" s="10">
        <v>4837</v>
      </c>
      <c r="H65" s="35">
        <v>2828728</v>
      </c>
      <c r="I65" s="18">
        <v>3006676</v>
      </c>
      <c r="J65" s="10">
        <v>862929</v>
      </c>
      <c r="K65" s="18">
        <v>2828728</v>
      </c>
      <c r="L65" s="19">
        <v>342443</v>
      </c>
      <c r="M65" s="17">
        <v>3171171</v>
      </c>
      <c r="N65" s="10"/>
      <c r="O65" s="10"/>
      <c r="P65" s="76"/>
      <c r="Q65" s="44"/>
      <c r="R65" s="44"/>
      <c r="S65" s="45"/>
    </row>
    <row r="66" spans="1:19" x14ac:dyDescent="0.3">
      <c r="A66" s="42">
        <v>43862</v>
      </c>
      <c r="B66" s="15">
        <v>3861066</v>
      </c>
      <c r="C66" s="47">
        <v>372961</v>
      </c>
      <c r="D66" s="10">
        <v>404311</v>
      </c>
      <c r="E66" s="10">
        <v>124761</v>
      </c>
      <c r="F66" s="92">
        <v>136689</v>
      </c>
      <c r="G66" s="10">
        <v>4867</v>
      </c>
      <c r="H66" s="35">
        <v>2817477</v>
      </c>
      <c r="I66" s="18">
        <v>2998539</v>
      </c>
      <c r="J66" s="10">
        <v>862527</v>
      </c>
      <c r="K66" s="18">
        <v>2817477</v>
      </c>
      <c r="L66" s="19">
        <v>349732</v>
      </c>
      <c r="M66" s="17">
        <v>3167209</v>
      </c>
      <c r="N66" s="10"/>
      <c r="O66" s="10"/>
      <c r="P66" s="76"/>
      <c r="Q66" s="44"/>
      <c r="R66" s="44"/>
      <c r="S66" s="45"/>
    </row>
    <row r="67" spans="1:19" x14ac:dyDescent="0.3">
      <c r="A67" s="42">
        <v>43831</v>
      </c>
      <c r="B67" s="15">
        <v>3870036</v>
      </c>
      <c r="C67" s="47">
        <v>373665</v>
      </c>
      <c r="D67" s="10">
        <v>404758</v>
      </c>
      <c r="E67" s="10">
        <v>125972</v>
      </c>
      <c r="F67" s="92">
        <v>136995</v>
      </c>
      <c r="G67" s="10">
        <v>4867</v>
      </c>
      <c r="H67" s="35">
        <v>2823779</v>
      </c>
      <c r="I67" s="18">
        <v>3004358</v>
      </c>
      <c r="J67" s="10">
        <v>865678</v>
      </c>
      <c r="K67" s="18">
        <v>2823779</v>
      </c>
      <c r="L67" s="19">
        <v>352725</v>
      </c>
      <c r="M67" s="17">
        <v>3176504</v>
      </c>
      <c r="N67" s="10"/>
      <c r="O67" s="10"/>
      <c r="P67" s="76"/>
      <c r="Q67" s="44"/>
      <c r="R67" s="44"/>
      <c r="S67" s="45"/>
    </row>
    <row r="68" spans="1:19" x14ac:dyDescent="0.3">
      <c r="A68" s="42">
        <v>43800</v>
      </c>
      <c r="B68" s="15">
        <v>3858717</v>
      </c>
      <c r="C68" s="47">
        <v>373217</v>
      </c>
      <c r="D68" s="10">
        <v>405817</v>
      </c>
      <c r="E68" s="10">
        <v>124746</v>
      </c>
      <c r="F68" s="92">
        <v>133307</v>
      </c>
      <c r="G68" s="10">
        <v>4834</v>
      </c>
      <c r="H68" s="35">
        <v>2816796</v>
      </c>
      <c r="I68" s="18">
        <v>2998383</v>
      </c>
      <c r="J68" s="10">
        <v>860334</v>
      </c>
      <c r="K68" s="18">
        <v>2816796</v>
      </c>
      <c r="L68" s="19">
        <v>355195</v>
      </c>
      <c r="M68" s="17">
        <v>3171991</v>
      </c>
      <c r="N68" s="10"/>
      <c r="O68" s="10"/>
      <c r="P68" s="76"/>
      <c r="Q68" s="44"/>
      <c r="R68" s="44"/>
      <c r="S68" s="45"/>
    </row>
    <row r="69" spans="1:19" x14ac:dyDescent="0.3">
      <c r="A69" s="42">
        <v>43770</v>
      </c>
      <c r="B69" s="15">
        <v>3860746</v>
      </c>
      <c r="C69" s="47">
        <v>373527</v>
      </c>
      <c r="D69" s="10">
        <v>405403</v>
      </c>
      <c r="E69" s="10">
        <v>125303</v>
      </c>
      <c r="F69" s="92">
        <v>134304</v>
      </c>
      <c r="G69" s="10">
        <v>4860</v>
      </c>
      <c r="H69" s="35">
        <v>2817349</v>
      </c>
      <c r="I69" s="18">
        <v>2999017</v>
      </c>
      <c r="J69" s="10">
        <v>861729</v>
      </c>
      <c r="K69" s="18">
        <v>2817349</v>
      </c>
      <c r="L69" s="19">
        <v>358385</v>
      </c>
      <c r="M69" s="17">
        <v>3175734</v>
      </c>
      <c r="N69" s="10"/>
      <c r="O69" s="10"/>
      <c r="P69" s="76"/>
      <c r="Q69" s="44"/>
      <c r="R69" s="44"/>
      <c r="S69" s="45"/>
    </row>
    <row r="70" spans="1:19" x14ac:dyDescent="0.3">
      <c r="A70" s="42">
        <v>43739</v>
      </c>
      <c r="B70" s="15">
        <v>3884721</v>
      </c>
      <c r="C70" s="47">
        <v>373620</v>
      </c>
      <c r="D70" s="10">
        <v>406592</v>
      </c>
      <c r="E70" s="10">
        <v>128655</v>
      </c>
      <c r="F70" s="92">
        <v>138380</v>
      </c>
      <c r="G70" s="10">
        <v>4868</v>
      </c>
      <c r="H70" s="35">
        <v>2832606</v>
      </c>
      <c r="I70" s="18">
        <v>3015628</v>
      </c>
      <c r="J70" s="10">
        <v>869093</v>
      </c>
      <c r="K70" s="18">
        <v>2832606</v>
      </c>
      <c r="L70" s="19">
        <v>360315</v>
      </c>
      <c r="M70" s="17">
        <v>3192921</v>
      </c>
      <c r="N70" s="10"/>
      <c r="O70" s="10"/>
      <c r="P70" s="76"/>
      <c r="Q70" s="44"/>
      <c r="R70" s="44"/>
      <c r="S70" s="45"/>
    </row>
    <row r="71" spans="1:19" x14ac:dyDescent="0.3">
      <c r="A71" s="46">
        <v>43709</v>
      </c>
      <c r="B71" s="20">
        <v>3883110</v>
      </c>
      <c r="C71" s="36">
        <v>372628</v>
      </c>
      <c r="D71" s="37">
        <v>407098</v>
      </c>
      <c r="E71" s="37">
        <v>128218</v>
      </c>
      <c r="F71" s="93">
        <v>140014</v>
      </c>
      <c r="G71" s="37">
        <v>4843</v>
      </c>
      <c r="H71" s="38">
        <v>2830309</v>
      </c>
      <c r="I71" s="23">
        <v>3014338</v>
      </c>
      <c r="J71" s="22">
        <v>868772</v>
      </c>
      <c r="K71" s="23">
        <v>2830309</v>
      </c>
      <c r="L71" s="24">
        <v>361667</v>
      </c>
      <c r="M71" s="22">
        <v>3191976</v>
      </c>
      <c r="N71" s="10"/>
      <c r="O71" s="10"/>
      <c r="P71" s="44"/>
      <c r="Q71" s="44"/>
      <c r="R71" s="44"/>
      <c r="S71" s="45"/>
    </row>
    <row r="72" spans="1:19" x14ac:dyDescent="0.3">
      <c r="A72" s="43">
        <v>43678</v>
      </c>
      <c r="B72" s="15">
        <v>3883274</v>
      </c>
      <c r="C72" s="34">
        <v>372108</v>
      </c>
      <c r="D72" s="10">
        <v>406226</v>
      </c>
      <c r="E72" s="10">
        <v>128512</v>
      </c>
      <c r="F72" s="92">
        <v>140705</v>
      </c>
      <c r="G72" s="10">
        <v>4802</v>
      </c>
      <c r="H72" s="35">
        <v>2830921</v>
      </c>
      <c r="I72" s="16">
        <v>3014822</v>
      </c>
      <c r="J72" s="17">
        <v>868452</v>
      </c>
      <c r="K72" s="18">
        <v>2830921</v>
      </c>
      <c r="L72" s="19">
        <v>362421</v>
      </c>
      <c r="M72" s="17">
        <v>3193342</v>
      </c>
      <c r="N72" s="10"/>
      <c r="O72" s="10"/>
      <c r="P72" s="44"/>
      <c r="Q72" s="44"/>
      <c r="R72" s="44"/>
      <c r="S72" s="45"/>
    </row>
    <row r="73" spans="1:19" x14ac:dyDescent="0.3">
      <c r="A73" s="43">
        <v>43647</v>
      </c>
      <c r="B73" s="15">
        <v>3878840</v>
      </c>
      <c r="C73" s="34">
        <v>372277</v>
      </c>
      <c r="D73" s="10">
        <v>407770</v>
      </c>
      <c r="E73" s="10">
        <v>128778</v>
      </c>
      <c r="F73" s="92">
        <v>140788</v>
      </c>
      <c r="G73" s="10">
        <v>4800</v>
      </c>
      <c r="H73" s="35">
        <v>2824427</v>
      </c>
      <c r="I73" s="16">
        <v>3009252</v>
      </c>
      <c r="J73" s="17">
        <v>869588</v>
      </c>
      <c r="K73" s="18">
        <v>2824427</v>
      </c>
      <c r="L73" s="19">
        <v>364321</v>
      </c>
      <c r="M73" s="17">
        <v>3188748</v>
      </c>
      <c r="N73" s="10"/>
      <c r="O73" s="10"/>
      <c r="P73" s="44"/>
      <c r="Q73" s="44"/>
      <c r="R73" s="44"/>
      <c r="S73" s="45"/>
    </row>
    <row r="74" spans="1:19" x14ac:dyDescent="0.3">
      <c r="A74" s="43">
        <v>43617</v>
      </c>
      <c r="B74" s="15">
        <v>3859439</v>
      </c>
      <c r="C74" s="34">
        <v>371584</v>
      </c>
      <c r="D74" s="10">
        <v>407833</v>
      </c>
      <c r="E74" s="10">
        <v>126828</v>
      </c>
      <c r="F74" s="92">
        <v>138290</v>
      </c>
      <c r="G74" s="10">
        <v>4818</v>
      </c>
      <c r="H74" s="35">
        <v>2810086</v>
      </c>
      <c r="I74" s="16">
        <v>2995087</v>
      </c>
      <c r="J74" s="17">
        <v>864352</v>
      </c>
      <c r="K74" s="18">
        <v>2810086</v>
      </c>
      <c r="L74" s="19">
        <v>369153</v>
      </c>
      <c r="M74" s="17">
        <v>3179239</v>
      </c>
      <c r="N74" s="10"/>
      <c r="O74" s="10"/>
      <c r="P74" s="44"/>
      <c r="Q74" s="44"/>
      <c r="R74" s="44"/>
      <c r="S74" s="45"/>
    </row>
    <row r="75" spans="1:19" x14ac:dyDescent="0.3">
      <c r="A75" s="43">
        <v>43586</v>
      </c>
      <c r="B75" s="15">
        <v>3858342</v>
      </c>
      <c r="C75" s="34">
        <v>371248</v>
      </c>
      <c r="D75" s="10">
        <v>407704</v>
      </c>
      <c r="E75" s="10">
        <v>126650</v>
      </c>
      <c r="F75" s="92">
        <v>137640</v>
      </c>
      <c r="G75" s="10">
        <v>4920</v>
      </c>
      <c r="H75" s="35">
        <v>2810180</v>
      </c>
      <c r="I75" s="16">
        <v>2994598</v>
      </c>
      <c r="J75" s="17">
        <v>863744</v>
      </c>
      <c r="K75" s="18">
        <v>2810180</v>
      </c>
      <c r="L75" s="19">
        <v>374255</v>
      </c>
      <c r="M75" s="17">
        <v>3184435</v>
      </c>
      <c r="N75" s="10"/>
      <c r="O75" s="10"/>
      <c r="P75" s="44"/>
      <c r="Q75" s="44"/>
      <c r="R75" s="44"/>
      <c r="S75" s="45"/>
    </row>
    <row r="76" spans="1:19" x14ac:dyDescent="0.3">
      <c r="A76" s="43">
        <v>43556</v>
      </c>
      <c r="B76" s="15">
        <v>3878228</v>
      </c>
      <c r="C76" s="34">
        <v>371785</v>
      </c>
      <c r="D76" s="10">
        <v>409329</v>
      </c>
      <c r="E76" s="10">
        <v>127988</v>
      </c>
      <c r="F76" s="92">
        <v>136556</v>
      </c>
      <c r="G76" s="10">
        <v>4898</v>
      </c>
      <c r="H76" s="35">
        <v>2827672</v>
      </c>
      <c r="I76" s="16">
        <v>3013169</v>
      </c>
      <c r="J76" s="17">
        <v>865059</v>
      </c>
      <c r="K76" s="18">
        <v>2827672</v>
      </c>
      <c r="L76" s="19">
        <v>375195</v>
      </c>
      <c r="M76" s="17">
        <v>3202867</v>
      </c>
      <c r="N76" s="10"/>
      <c r="O76" s="10"/>
      <c r="P76" s="44"/>
      <c r="Q76" s="44"/>
      <c r="R76" s="44"/>
      <c r="S76" s="45"/>
    </row>
    <row r="77" spans="1:19" x14ac:dyDescent="0.3">
      <c r="A77" s="43">
        <v>43525</v>
      </c>
      <c r="B77" s="15">
        <v>3914053</v>
      </c>
      <c r="C77" s="34">
        <v>372016</v>
      </c>
      <c r="D77" s="10">
        <v>408647</v>
      </c>
      <c r="E77" s="10">
        <v>131110</v>
      </c>
      <c r="F77" s="92">
        <v>136251</v>
      </c>
      <c r="G77" s="10">
        <v>4841</v>
      </c>
      <c r="H77" s="35">
        <v>2861188</v>
      </c>
      <c r="I77" s="16">
        <v>3046234</v>
      </c>
      <c r="J77" s="17">
        <v>867819</v>
      </c>
      <c r="K77" s="18">
        <v>2861188</v>
      </c>
      <c r="L77" s="19">
        <v>377366</v>
      </c>
      <c r="M77" s="17">
        <v>3238554</v>
      </c>
      <c r="N77" s="10"/>
      <c r="O77" s="10"/>
      <c r="P77" s="44"/>
      <c r="Q77" s="44"/>
      <c r="R77" s="44"/>
      <c r="S77" s="45"/>
    </row>
    <row r="78" spans="1:19" x14ac:dyDescent="0.3">
      <c r="A78" s="43">
        <v>43497</v>
      </c>
      <c r="B78" s="15">
        <v>3923154</v>
      </c>
      <c r="C78" s="34">
        <v>372060</v>
      </c>
      <c r="D78" s="10">
        <v>409798</v>
      </c>
      <c r="E78" s="10">
        <v>131716</v>
      </c>
      <c r="F78" s="92">
        <v>136162</v>
      </c>
      <c r="G78" s="10">
        <v>4777</v>
      </c>
      <c r="H78" s="35">
        <v>2868641</v>
      </c>
      <c r="I78" s="16">
        <v>3054553</v>
      </c>
      <c r="J78" s="17">
        <v>868601</v>
      </c>
      <c r="K78" s="18">
        <v>2868641</v>
      </c>
      <c r="L78" s="19">
        <v>380217</v>
      </c>
      <c r="M78" s="17">
        <v>3248858</v>
      </c>
      <c r="N78" s="10"/>
      <c r="O78" s="10"/>
      <c r="P78" s="44"/>
      <c r="Q78" s="44"/>
      <c r="R78" s="44"/>
      <c r="S78" s="45"/>
    </row>
    <row r="79" spans="1:19" s="7" customFormat="1" x14ac:dyDescent="0.3">
      <c r="A79" s="43">
        <v>43466</v>
      </c>
      <c r="B79" s="15">
        <v>3939241</v>
      </c>
      <c r="C79" s="34">
        <v>372318</v>
      </c>
      <c r="D79" s="10">
        <v>410080</v>
      </c>
      <c r="E79" s="10">
        <v>133186</v>
      </c>
      <c r="F79" s="92">
        <v>136950</v>
      </c>
      <c r="G79" s="10">
        <v>4761</v>
      </c>
      <c r="H79" s="35">
        <v>2881946</v>
      </c>
      <c r="I79" s="16">
        <v>3068013</v>
      </c>
      <c r="J79" s="17">
        <v>871228</v>
      </c>
      <c r="K79" s="18">
        <v>2881946</v>
      </c>
      <c r="L79" s="19">
        <v>382510</v>
      </c>
      <c r="M79" s="17">
        <v>3264456</v>
      </c>
      <c r="N79" s="10"/>
      <c r="O79" s="10"/>
      <c r="P79" s="44"/>
      <c r="Q79" s="44"/>
      <c r="R79" s="44"/>
      <c r="S79" s="45"/>
    </row>
    <row r="80" spans="1:19" x14ac:dyDescent="0.3">
      <c r="A80" s="43">
        <v>43435</v>
      </c>
      <c r="B80" s="15">
        <v>3938500</v>
      </c>
      <c r="C80" s="34">
        <v>372232</v>
      </c>
      <c r="D80" s="10">
        <v>410132</v>
      </c>
      <c r="E80" s="10">
        <v>132813</v>
      </c>
      <c r="F80" s="92">
        <v>133653</v>
      </c>
      <c r="G80" s="10">
        <v>4733</v>
      </c>
      <c r="H80" s="35">
        <v>2884937</v>
      </c>
      <c r="I80" s="16">
        <v>3070736</v>
      </c>
      <c r="J80" s="17">
        <v>867764</v>
      </c>
      <c r="K80" s="18">
        <v>2884937</v>
      </c>
      <c r="L80" s="19">
        <v>384737</v>
      </c>
      <c r="M80" s="17">
        <v>3269674</v>
      </c>
      <c r="N80" s="10"/>
      <c r="O80" s="10"/>
      <c r="P80" s="44"/>
      <c r="Q80" s="44"/>
      <c r="R80" s="44"/>
      <c r="S80" s="45"/>
    </row>
    <row r="81" spans="1:26" x14ac:dyDescent="0.3">
      <c r="A81" s="42">
        <v>43405</v>
      </c>
      <c r="B81" s="15">
        <v>3954935</v>
      </c>
      <c r="C81" s="34">
        <v>373018</v>
      </c>
      <c r="D81" s="10">
        <v>409901</v>
      </c>
      <c r="E81" s="10">
        <v>135167</v>
      </c>
      <c r="F81" s="92">
        <v>136475</v>
      </c>
      <c r="G81" s="10">
        <v>4742</v>
      </c>
      <c r="H81" s="35">
        <v>2895632</v>
      </c>
      <c r="I81" s="16">
        <v>3081621</v>
      </c>
      <c r="J81" s="17">
        <v>873314</v>
      </c>
      <c r="K81" s="18">
        <v>2895632</v>
      </c>
      <c r="L81" s="19">
        <v>384075</v>
      </c>
      <c r="M81" s="17">
        <v>3279707</v>
      </c>
      <c r="N81" s="10"/>
      <c r="O81" s="10"/>
      <c r="P81" s="44"/>
      <c r="Q81" s="44"/>
      <c r="R81" s="44"/>
      <c r="S81" s="45"/>
    </row>
    <row r="82" spans="1:26" x14ac:dyDescent="0.3">
      <c r="A82" s="42">
        <v>43374</v>
      </c>
      <c r="B82" s="15">
        <v>3975713</v>
      </c>
      <c r="C82" s="34">
        <v>373499</v>
      </c>
      <c r="D82" s="10">
        <v>412247</v>
      </c>
      <c r="E82" s="10">
        <v>137662</v>
      </c>
      <c r="F82" s="92">
        <v>139246</v>
      </c>
      <c r="G82" s="10">
        <v>4767</v>
      </c>
      <c r="H82" s="35">
        <v>2908292</v>
      </c>
      <c r="I82" s="16">
        <v>3096296</v>
      </c>
      <c r="J82" s="17">
        <v>879417</v>
      </c>
      <c r="K82" s="18">
        <v>2908292</v>
      </c>
      <c r="L82" s="19">
        <v>384456</v>
      </c>
      <c r="M82" s="17">
        <v>3292748</v>
      </c>
      <c r="N82" s="10"/>
      <c r="O82" s="10"/>
      <c r="P82" s="44"/>
      <c r="Q82" s="44"/>
      <c r="R82" s="44"/>
      <c r="S82" s="45"/>
    </row>
    <row r="83" spans="1:26" x14ac:dyDescent="0.3">
      <c r="A83" s="41">
        <v>43344</v>
      </c>
      <c r="B83" s="20">
        <v>3976416</v>
      </c>
      <c r="C83" s="36">
        <v>373042</v>
      </c>
      <c r="D83" s="37">
        <v>413245</v>
      </c>
      <c r="E83" s="37">
        <v>137574</v>
      </c>
      <c r="F83" s="93">
        <v>139632</v>
      </c>
      <c r="G83" s="37">
        <v>4773</v>
      </c>
      <c r="H83" s="38">
        <v>2908150</v>
      </c>
      <c r="I83" s="23">
        <v>3097116</v>
      </c>
      <c r="J83" s="22">
        <v>879300</v>
      </c>
      <c r="K83" s="23">
        <v>2908150</v>
      </c>
      <c r="L83" s="24">
        <v>390344</v>
      </c>
      <c r="M83" s="22">
        <v>3298494</v>
      </c>
      <c r="N83" s="10"/>
      <c r="O83" s="10"/>
      <c r="P83" s="44"/>
      <c r="Q83" s="44"/>
      <c r="R83" s="44"/>
      <c r="S83" s="45"/>
    </row>
    <row r="84" spans="1:26" x14ac:dyDescent="0.3">
      <c r="A84" s="8">
        <v>43313</v>
      </c>
      <c r="B84" s="15">
        <v>3981982</v>
      </c>
      <c r="C84" s="34">
        <v>373128</v>
      </c>
      <c r="D84" s="10">
        <v>413216</v>
      </c>
      <c r="E84" s="10">
        <v>138442</v>
      </c>
      <c r="F84" s="92">
        <v>141107</v>
      </c>
      <c r="G84" s="10">
        <v>4801</v>
      </c>
      <c r="H84" s="35">
        <v>2911288</v>
      </c>
      <c r="I84" s="16">
        <v>3100313</v>
      </c>
      <c r="J84" s="17">
        <v>881669</v>
      </c>
      <c r="K84" s="18">
        <v>2911288</v>
      </c>
      <c r="L84" s="19">
        <v>392151</v>
      </c>
      <c r="M84" s="17">
        <v>3303439</v>
      </c>
      <c r="N84" s="10"/>
      <c r="O84" s="10"/>
      <c r="P84" s="44"/>
      <c r="Q84" s="44"/>
      <c r="R84" s="44"/>
      <c r="S84" s="45"/>
    </row>
    <row r="85" spans="1:26" x14ac:dyDescent="0.3">
      <c r="A85" s="8">
        <v>43282</v>
      </c>
      <c r="B85" s="15">
        <v>3981912</v>
      </c>
      <c r="C85" s="34">
        <v>372855</v>
      </c>
      <c r="D85" s="10">
        <v>414939</v>
      </c>
      <c r="E85" s="10">
        <v>139399</v>
      </c>
      <c r="F85" s="92">
        <v>140221</v>
      </c>
      <c r="G85" s="10">
        <v>4828</v>
      </c>
      <c r="H85" s="35">
        <v>2909670</v>
      </c>
      <c r="I85" s="16">
        <v>3099640</v>
      </c>
      <c r="J85" s="17">
        <v>882272</v>
      </c>
      <c r="K85" s="18">
        <v>2909670</v>
      </c>
      <c r="L85" s="19">
        <v>393114</v>
      </c>
      <c r="M85" s="17">
        <v>3302784</v>
      </c>
      <c r="N85" s="10"/>
      <c r="O85" s="10"/>
      <c r="P85" s="44"/>
      <c r="Q85" s="44"/>
      <c r="R85" s="44"/>
      <c r="S85" s="45"/>
    </row>
    <row r="86" spans="1:26" x14ac:dyDescent="0.3">
      <c r="A86" s="8">
        <v>43252</v>
      </c>
      <c r="B86" s="15">
        <v>3977207</v>
      </c>
      <c r="C86" s="34">
        <v>372122</v>
      </c>
      <c r="D86" s="10">
        <v>414515</v>
      </c>
      <c r="E86" s="10">
        <v>138978</v>
      </c>
      <c r="F86" s="92">
        <v>138534</v>
      </c>
      <c r="G86" s="10">
        <v>4821</v>
      </c>
      <c r="H86" s="35">
        <v>2908237</v>
      </c>
      <c r="I86" s="16">
        <v>3097612</v>
      </c>
      <c r="J86" s="17">
        <v>879595</v>
      </c>
      <c r="K86" s="18">
        <v>2908237</v>
      </c>
      <c r="L86" s="19">
        <v>397637</v>
      </c>
      <c r="M86" s="17">
        <v>3305874</v>
      </c>
      <c r="N86" s="10"/>
      <c r="O86" s="10"/>
      <c r="P86" s="44"/>
      <c r="Q86" s="44"/>
      <c r="R86" s="44"/>
      <c r="S86" s="45"/>
    </row>
    <row r="87" spans="1:26" x14ac:dyDescent="0.3">
      <c r="A87" s="8">
        <v>43221</v>
      </c>
      <c r="B87" s="15">
        <v>3988334</v>
      </c>
      <c r="C87" s="34">
        <v>372019</v>
      </c>
      <c r="D87" s="10">
        <v>416150</v>
      </c>
      <c r="E87" s="10">
        <v>140498</v>
      </c>
      <c r="F87" s="92">
        <v>138717</v>
      </c>
      <c r="G87" s="10">
        <v>4852</v>
      </c>
      <c r="H87" s="35">
        <v>2916098</v>
      </c>
      <c r="I87" s="16">
        <v>3106274</v>
      </c>
      <c r="J87" s="17">
        <v>882060</v>
      </c>
      <c r="K87" s="18">
        <v>2916098</v>
      </c>
      <c r="L87" s="19">
        <v>408466</v>
      </c>
      <c r="M87" s="17">
        <v>3324564</v>
      </c>
      <c r="N87" s="10"/>
      <c r="O87" s="10"/>
      <c r="P87" s="44"/>
      <c r="Q87" s="44"/>
      <c r="R87" s="44"/>
      <c r="S87" s="45"/>
    </row>
    <row r="88" spans="1:26" x14ac:dyDescent="0.3">
      <c r="A88" s="8">
        <v>43191</v>
      </c>
      <c r="B88" s="15">
        <v>3998671</v>
      </c>
      <c r="C88" s="34">
        <v>372143</v>
      </c>
      <c r="D88" s="10">
        <v>417095</v>
      </c>
      <c r="E88" s="10">
        <v>141994</v>
      </c>
      <c r="F88" s="92">
        <v>137316</v>
      </c>
      <c r="G88" s="10">
        <v>4887</v>
      </c>
      <c r="H88" s="35">
        <v>2925236</v>
      </c>
      <c r="I88" s="16">
        <v>3115873</v>
      </c>
      <c r="J88" s="17">
        <v>882798</v>
      </c>
      <c r="K88" s="18">
        <v>2925236</v>
      </c>
      <c r="L88" s="19">
        <v>412736</v>
      </c>
      <c r="M88" s="17">
        <v>3337972</v>
      </c>
      <c r="N88" s="10"/>
      <c r="O88" s="10"/>
      <c r="P88" s="44"/>
      <c r="Q88" s="44"/>
      <c r="R88" s="44"/>
      <c r="S88" s="45"/>
    </row>
    <row r="89" spans="1:26" x14ac:dyDescent="0.3">
      <c r="A89" s="8">
        <v>43160</v>
      </c>
      <c r="B89" s="15">
        <v>4010041</v>
      </c>
      <c r="C89" s="34">
        <v>372232</v>
      </c>
      <c r="D89" s="10">
        <v>416484</v>
      </c>
      <c r="E89" s="10">
        <v>141439</v>
      </c>
      <c r="F89" s="92">
        <v>136962</v>
      </c>
      <c r="G89" s="10">
        <v>4903</v>
      </c>
      <c r="H89" s="35">
        <v>2938021</v>
      </c>
      <c r="I89" s="16">
        <v>3128088</v>
      </c>
      <c r="J89" s="17">
        <v>881953</v>
      </c>
      <c r="K89" s="18">
        <v>2938021</v>
      </c>
      <c r="L89" s="19">
        <v>420340</v>
      </c>
      <c r="M89" s="17">
        <v>3358361</v>
      </c>
      <c r="N89" s="10"/>
      <c r="O89" s="10"/>
      <c r="P89" s="44"/>
      <c r="Q89" s="44"/>
      <c r="R89" s="44"/>
      <c r="S89" s="45"/>
    </row>
    <row r="90" spans="1:26" x14ac:dyDescent="0.3">
      <c r="A90" s="8">
        <v>43132</v>
      </c>
      <c r="B90" s="15">
        <v>4028146</v>
      </c>
      <c r="C90" s="34">
        <v>372450</v>
      </c>
      <c r="D90" s="10">
        <v>418054</v>
      </c>
      <c r="E90" s="10">
        <v>142718</v>
      </c>
      <c r="F90" s="92">
        <v>137365</v>
      </c>
      <c r="G90" s="10">
        <v>4865</v>
      </c>
      <c r="H90" s="35">
        <v>2952694</v>
      </c>
      <c r="I90" s="16">
        <v>3143770</v>
      </c>
      <c r="J90" s="17">
        <v>884376</v>
      </c>
      <c r="K90" s="18">
        <v>2952694</v>
      </c>
      <c r="L90" s="19">
        <v>419772</v>
      </c>
      <c r="M90" s="17">
        <v>3372466</v>
      </c>
      <c r="N90" s="10"/>
      <c r="O90" s="10"/>
      <c r="P90" s="44"/>
      <c r="Q90" s="44"/>
      <c r="R90" s="44"/>
      <c r="S90" s="45"/>
    </row>
    <row r="91" spans="1:26" ht="15" customHeight="1" x14ac:dyDescent="0.3">
      <c r="A91" s="8">
        <v>43101</v>
      </c>
      <c r="B91" s="15">
        <v>4050249</v>
      </c>
      <c r="C91" s="34">
        <v>373909</v>
      </c>
      <c r="D91" s="10">
        <v>418569</v>
      </c>
      <c r="E91" s="10">
        <v>144105</v>
      </c>
      <c r="F91" s="92">
        <v>138289</v>
      </c>
      <c r="G91" s="10">
        <v>4889</v>
      </c>
      <c r="H91" s="35">
        <v>2970488</v>
      </c>
      <c r="I91" s="16">
        <v>3161894</v>
      </c>
      <c r="J91" s="17">
        <v>888355</v>
      </c>
      <c r="K91" s="18">
        <v>2970488</v>
      </c>
      <c r="L91" s="19">
        <v>420154</v>
      </c>
      <c r="M91" s="17">
        <v>3390642</v>
      </c>
      <c r="N91" s="10"/>
      <c r="O91" s="10"/>
      <c r="P91" s="44"/>
      <c r="Q91" s="44"/>
      <c r="R91" s="44"/>
      <c r="S91" s="45"/>
    </row>
    <row r="92" spans="1:26" ht="15" customHeight="1" x14ac:dyDescent="0.3">
      <c r="A92" s="8">
        <v>43070</v>
      </c>
      <c r="B92" s="15">
        <v>4057555</v>
      </c>
      <c r="C92" s="34">
        <v>374088</v>
      </c>
      <c r="D92" s="10">
        <v>417405</v>
      </c>
      <c r="E92" s="10">
        <v>143347</v>
      </c>
      <c r="F92" s="92">
        <v>135622</v>
      </c>
      <c r="G92" s="10">
        <v>4874</v>
      </c>
      <c r="H92" s="35">
        <v>2982219</v>
      </c>
      <c r="I92" s="16">
        <v>3172742</v>
      </c>
      <c r="J92" s="17">
        <v>884813</v>
      </c>
      <c r="K92" s="18">
        <v>2982219</v>
      </c>
      <c r="L92" s="19">
        <v>422402</v>
      </c>
      <c r="M92" s="17">
        <v>3404621</v>
      </c>
      <c r="N92" s="10"/>
      <c r="O92" s="10"/>
      <c r="P92" s="44"/>
      <c r="Q92" s="44"/>
      <c r="R92" s="44"/>
      <c r="S92" s="45"/>
    </row>
    <row r="93" spans="1:26" x14ac:dyDescent="0.3">
      <c r="A93" s="8">
        <v>43040</v>
      </c>
      <c r="B93" s="15">
        <v>4065023</v>
      </c>
      <c r="C93" s="34">
        <v>374902</v>
      </c>
      <c r="D93" s="10">
        <v>418860</v>
      </c>
      <c r="E93" s="10">
        <v>145164</v>
      </c>
      <c r="F93" s="92">
        <v>138244</v>
      </c>
      <c r="G93" s="10">
        <v>4856</v>
      </c>
      <c r="H93" s="35">
        <v>2982997</v>
      </c>
      <c r="I93" s="16">
        <v>3175155</v>
      </c>
      <c r="J93" s="17">
        <v>889868</v>
      </c>
      <c r="K93" s="18">
        <v>2982997</v>
      </c>
      <c r="L93" s="19">
        <v>418794</v>
      </c>
      <c r="M93" s="17">
        <v>3401791</v>
      </c>
      <c r="N93" s="10"/>
      <c r="O93" s="10"/>
      <c r="P93" s="44"/>
      <c r="Q93" s="44"/>
      <c r="R93" s="44"/>
      <c r="S93" s="45"/>
    </row>
    <row r="94" spans="1:26" ht="17.25" customHeight="1" x14ac:dyDescent="0.3">
      <c r="A94" s="8">
        <v>43009</v>
      </c>
      <c r="B94" s="15">
        <v>4064753</v>
      </c>
      <c r="C94" s="34">
        <v>375113</v>
      </c>
      <c r="D94" s="10">
        <v>419473</v>
      </c>
      <c r="E94" s="10">
        <v>146829</v>
      </c>
      <c r="F94" s="92">
        <v>140448</v>
      </c>
      <c r="G94" s="10">
        <v>4856</v>
      </c>
      <c r="H94" s="35">
        <v>2978034</v>
      </c>
      <c r="I94" s="16">
        <v>3171206</v>
      </c>
      <c r="J94" s="17">
        <v>893547</v>
      </c>
      <c r="K94" s="18">
        <v>2978034</v>
      </c>
      <c r="L94" s="19">
        <v>413910</v>
      </c>
      <c r="M94" s="17">
        <v>3391944</v>
      </c>
      <c r="N94" s="10"/>
      <c r="O94" s="10"/>
      <c r="P94" s="44"/>
      <c r="Q94" s="44"/>
      <c r="R94" s="44"/>
      <c r="S94" s="45"/>
      <c r="V94" s="78"/>
      <c r="W94" s="78"/>
      <c r="X94" s="78"/>
      <c r="Y94" s="78"/>
      <c r="Z94" s="78"/>
    </row>
    <row r="95" spans="1:26" ht="17.25" customHeight="1" x14ac:dyDescent="0.3">
      <c r="A95" s="39">
        <v>42979</v>
      </c>
      <c r="B95" s="20">
        <v>4056356</v>
      </c>
      <c r="C95" s="36">
        <v>374699</v>
      </c>
      <c r="D95" s="37">
        <v>418479</v>
      </c>
      <c r="E95" s="37">
        <v>145985</v>
      </c>
      <c r="F95" s="93">
        <v>141041</v>
      </c>
      <c r="G95" s="37">
        <v>4820</v>
      </c>
      <c r="H95" s="38">
        <v>2971332</v>
      </c>
      <c r="I95" s="21">
        <v>3164490</v>
      </c>
      <c r="J95" s="22">
        <v>891866</v>
      </c>
      <c r="K95" s="23">
        <v>2971332</v>
      </c>
      <c r="L95" s="24">
        <v>405551</v>
      </c>
      <c r="M95" s="22">
        <v>3376883</v>
      </c>
      <c r="N95" s="10"/>
      <c r="O95" s="10"/>
      <c r="P95" s="44"/>
      <c r="Q95" s="44"/>
      <c r="R95" s="44"/>
      <c r="S95" s="45"/>
    </row>
    <row r="96" spans="1:26" x14ac:dyDescent="0.3">
      <c r="A96" s="8">
        <v>42948</v>
      </c>
      <c r="B96" s="15">
        <v>4044942</v>
      </c>
      <c r="C96" s="34">
        <v>374371</v>
      </c>
      <c r="D96" s="10">
        <v>419809</v>
      </c>
      <c r="E96" s="10">
        <v>146573</v>
      </c>
      <c r="F96" s="92">
        <v>141858</v>
      </c>
      <c r="G96" s="10">
        <v>4853</v>
      </c>
      <c r="H96" s="35">
        <v>2957478</v>
      </c>
      <c r="I96" s="16">
        <v>3151619</v>
      </c>
      <c r="J96" s="17">
        <v>893323</v>
      </c>
      <c r="K96" s="18">
        <v>2957478</v>
      </c>
      <c r="L96" s="19">
        <v>402530</v>
      </c>
      <c r="M96" s="17">
        <v>3360008</v>
      </c>
      <c r="N96" s="10"/>
      <c r="O96" s="10"/>
      <c r="P96" s="44"/>
      <c r="Q96" s="44"/>
      <c r="R96" s="44"/>
      <c r="S96" s="45"/>
    </row>
    <row r="97" spans="1:19" ht="17.25" customHeight="1" x14ac:dyDescent="0.3">
      <c r="A97" s="8">
        <v>42917</v>
      </c>
      <c r="B97" s="15">
        <v>4038159</v>
      </c>
      <c r="C97" s="34">
        <v>374203</v>
      </c>
      <c r="D97" s="10">
        <v>420429</v>
      </c>
      <c r="E97" s="10">
        <v>146286</v>
      </c>
      <c r="F97" s="92">
        <v>142029</v>
      </c>
      <c r="G97" s="10">
        <v>4861</v>
      </c>
      <c r="H97" s="35">
        <v>2950351</v>
      </c>
      <c r="I97" s="16">
        <v>3145139</v>
      </c>
      <c r="J97" s="17">
        <v>893020</v>
      </c>
      <c r="K97" s="18">
        <v>2950351</v>
      </c>
      <c r="L97" s="19">
        <v>400466</v>
      </c>
      <c r="M97" s="17">
        <v>3350817</v>
      </c>
      <c r="N97" s="10"/>
      <c r="O97" s="10"/>
      <c r="P97" s="44"/>
      <c r="Q97" s="44"/>
      <c r="R97" s="44"/>
      <c r="S97" s="45"/>
    </row>
    <row r="98" spans="1:19" ht="17.25" customHeight="1" x14ac:dyDescent="0.3">
      <c r="A98" s="8">
        <v>42887</v>
      </c>
      <c r="B98" s="15">
        <v>4036470</v>
      </c>
      <c r="C98" s="34">
        <v>373289</v>
      </c>
      <c r="D98" s="10">
        <v>419365</v>
      </c>
      <c r="E98" s="10">
        <v>145017</v>
      </c>
      <c r="F98" s="92">
        <v>140505</v>
      </c>
      <c r="G98" s="10">
        <v>4903</v>
      </c>
      <c r="H98" s="35">
        <v>2953391</v>
      </c>
      <c r="I98" s="16">
        <v>3147139</v>
      </c>
      <c r="J98" s="17">
        <v>889331</v>
      </c>
      <c r="K98" s="18">
        <v>2953391</v>
      </c>
      <c r="L98" s="19">
        <v>399008</v>
      </c>
      <c r="M98" s="17">
        <v>3352399</v>
      </c>
      <c r="N98" s="10"/>
      <c r="O98" s="10"/>
      <c r="P98" s="44"/>
      <c r="Q98" s="44"/>
      <c r="R98" s="44"/>
      <c r="S98" s="45"/>
    </row>
    <row r="99" spans="1:19" ht="17.25" customHeight="1" x14ac:dyDescent="0.3">
      <c r="A99" s="8">
        <v>42856</v>
      </c>
      <c r="B99" s="15">
        <v>4047544</v>
      </c>
      <c r="C99" s="34">
        <v>372941</v>
      </c>
      <c r="D99" s="10">
        <v>421003</v>
      </c>
      <c r="E99" s="10">
        <v>146331</v>
      </c>
      <c r="F99" s="92">
        <v>139817</v>
      </c>
      <c r="G99" s="10">
        <v>4894</v>
      </c>
      <c r="H99" s="35">
        <v>2962558</v>
      </c>
      <c r="I99" s="16">
        <v>3157535</v>
      </c>
      <c r="J99" s="17">
        <v>890009</v>
      </c>
      <c r="K99" s="18">
        <v>2962558</v>
      </c>
      <c r="L99" s="19">
        <v>394237</v>
      </c>
      <c r="M99" s="17">
        <v>3356795</v>
      </c>
      <c r="N99" s="10"/>
      <c r="O99" s="10"/>
      <c r="P99" s="44"/>
      <c r="Q99" s="44"/>
      <c r="R99" s="44"/>
      <c r="S99" s="45"/>
    </row>
    <row r="100" spans="1:19" ht="17.25" customHeight="1" x14ac:dyDescent="0.3">
      <c r="A100" s="8">
        <v>42826</v>
      </c>
      <c r="B100" s="15">
        <v>4047818</v>
      </c>
      <c r="C100" s="34">
        <v>372922</v>
      </c>
      <c r="D100" s="10">
        <v>421492</v>
      </c>
      <c r="E100" s="10">
        <v>145280</v>
      </c>
      <c r="F100" s="92">
        <v>137552</v>
      </c>
      <c r="G100" s="10">
        <v>4864</v>
      </c>
      <c r="H100" s="35">
        <v>2965708</v>
      </c>
      <c r="I100" s="16">
        <v>3160814</v>
      </c>
      <c r="J100" s="17">
        <v>887004</v>
      </c>
      <c r="K100" s="18">
        <v>2965708</v>
      </c>
      <c r="L100" s="19">
        <v>393659</v>
      </c>
      <c r="M100" s="17">
        <v>3359367</v>
      </c>
      <c r="N100" s="10"/>
      <c r="O100" s="10"/>
      <c r="P100" s="44"/>
      <c r="Q100" s="44"/>
      <c r="R100" s="44"/>
      <c r="S100" s="45"/>
    </row>
    <row r="101" spans="1:19" ht="17.25" customHeight="1" x14ac:dyDescent="0.3">
      <c r="A101" s="8">
        <v>42795</v>
      </c>
      <c r="B101" s="15">
        <v>4067237</v>
      </c>
      <c r="C101" s="34">
        <v>373167</v>
      </c>
      <c r="D101" s="10">
        <v>420190</v>
      </c>
      <c r="E101" s="10">
        <v>145116</v>
      </c>
      <c r="F101" s="92">
        <v>138591</v>
      </c>
      <c r="G101" s="10">
        <v>4847</v>
      </c>
      <c r="H101" s="35">
        <v>2985326</v>
      </c>
      <c r="I101" s="16">
        <v>3179939</v>
      </c>
      <c r="J101" s="17">
        <v>887298</v>
      </c>
      <c r="K101" s="18">
        <v>2985326</v>
      </c>
      <c r="L101" s="19">
        <v>395942</v>
      </c>
      <c r="M101" s="17">
        <v>3381268</v>
      </c>
      <c r="N101" s="10"/>
      <c r="O101" s="10"/>
      <c r="P101" s="44"/>
      <c r="Q101" s="44"/>
      <c r="R101" s="44"/>
      <c r="S101" s="45"/>
    </row>
    <row r="102" spans="1:19" ht="17.25" customHeight="1" x14ac:dyDescent="0.3">
      <c r="A102" s="8">
        <v>42767</v>
      </c>
      <c r="B102" s="15">
        <v>4077036</v>
      </c>
      <c r="C102" s="34">
        <v>373038</v>
      </c>
      <c r="D102" s="10">
        <v>421485</v>
      </c>
      <c r="E102" s="10">
        <v>144957</v>
      </c>
      <c r="F102" s="92">
        <v>138142</v>
      </c>
      <c r="G102" s="10">
        <v>4842</v>
      </c>
      <c r="H102" s="35">
        <v>2994572</v>
      </c>
      <c r="I102" s="16">
        <v>3189977</v>
      </c>
      <c r="J102" s="17">
        <v>887059</v>
      </c>
      <c r="K102" s="18">
        <v>2994572</v>
      </c>
      <c r="L102" s="19">
        <v>398240</v>
      </c>
      <c r="M102" s="17">
        <v>3392812</v>
      </c>
      <c r="N102" s="10"/>
      <c r="O102" s="10"/>
      <c r="P102" s="44"/>
      <c r="Q102" s="44"/>
      <c r="R102" s="44"/>
      <c r="S102" s="45"/>
    </row>
    <row r="103" spans="1:19" ht="17.25" customHeight="1" x14ac:dyDescent="0.3">
      <c r="A103" s="8">
        <v>42736</v>
      </c>
      <c r="B103" s="15">
        <v>4091097</v>
      </c>
      <c r="C103" s="34">
        <v>373397</v>
      </c>
      <c r="D103" s="10">
        <v>421244</v>
      </c>
      <c r="E103" s="10">
        <v>145310</v>
      </c>
      <c r="F103" s="92">
        <v>139450</v>
      </c>
      <c r="G103" s="10">
        <v>4847</v>
      </c>
      <c r="H103" s="35">
        <v>3006849</v>
      </c>
      <c r="I103" s="16">
        <v>3202606</v>
      </c>
      <c r="J103" s="17">
        <v>888491</v>
      </c>
      <c r="K103" s="18">
        <v>3006849</v>
      </c>
      <c r="L103" s="19">
        <v>390929</v>
      </c>
      <c r="M103" s="17">
        <v>3397778</v>
      </c>
      <c r="N103" s="10"/>
      <c r="O103" s="10"/>
      <c r="P103" s="44"/>
      <c r="Q103" s="44"/>
      <c r="R103" s="44"/>
      <c r="S103" s="45"/>
    </row>
    <row r="104" spans="1:19" x14ac:dyDescent="0.3">
      <c r="A104" s="8">
        <v>42705</v>
      </c>
      <c r="B104" s="15">
        <v>4079622</v>
      </c>
      <c r="C104" s="34">
        <v>371268</v>
      </c>
      <c r="D104" s="10">
        <v>420443</v>
      </c>
      <c r="E104" s="10">
        <v>143495</v>
      </c>
      <c r="F104" s="92">
        <v>137402</v>
      </c>
      <c r="G104" s="10">
        <v>4844</v>
      </c>
      <c r="H104" s="35">
        <v>3002170</v>
      </c>
      <c r="I104" s="16">
        <v>3196994</v>
      </c>
      <c r="J104" s="17">
        <v>882628</v>
      </c>
      <c r="K104" s="18">
        <v>3002170</v>
      </c>
      <c r="L104" s="19">
        <v>386312</v>
      </c>
      <c r="M104" s="17">
        <v>3388482</v>
      </c>
      <c r="N104" s="10"/>
      <c r="O104" s="10"/>
      <c r="P104" s="44"/>
      <c r="Q104" s="44"/>
      <c r="R104" s="44"/>
      <c r="S104" s="45"/>
    </row>
    <row r="105" spans="1:19" ht="17.25" customHeight="1" x14ac:dyDescent="0.3">
      <c r="A105" s="8">
        <v>42675</v>
      </c>
      <c r="B105" s="15">
        <v>4092480</v>
      </c>
      <c r="C105" s="34">
        <v>374469</v>
      </c>
      <c r="D105" s="10">
        <v>422857</v>
      </c>
      <c r="E105" s="10">
        <v>145080</v>
      </c>
      <c r="F105" s="92">
        <v>139286</v>
      </c>
      <c r="G105" s="10">
        <v>4858</v>
      </c>
      <c r="H105" s="35">
        <v>3005930</v>
      </c>
      <c r="I105" s="16">
        <v>3202999</v>
      </c>
      <c r="J105" s="17">
        <v>889481</v>
      </c>
      <c r="K105" s="18">
        <v>3005930</v>
      </c>
      <c r="L105" s="19">
        <v>378518</v>
      </c>
      <c r="M105" s="17">
        <v>3384448</v>
      </c>
      <c r="N105" s="10"/>
      <c r="O105" s="10"/>
      <c r="P105" s="44"/>
      <c r="Q105" s="44"/>
      <c r="R105" s="44"/>
      <c r="S105" s="45"/>
    </row>
    <row r="106" spans="1:19" ht="17.25" customHeight="1" x14ac:dyDescent="0.3">
      <c r="A106" s="8">
        <v>42644</v>
      </c>
      <c r="B106" s="15">
        <v>4097571</v>
      </c>
      <c r="C106" s="34">
        <v>374624</v>
      </c>
      <c r="D106" s="10">
        <v>423537</v>
      </c>
      <c r="E106" s="10">
        <v>146382</v>
      </c>
      <c r="F106" s="92">
        <v>141955</v>
      </c>
      <c r="G106" s="10">
        <v>4870</v>
      </c>
      <c r="H106" s="35">
        <v>3006203</v>
      </c>
      <c r="I106" s="16">
        <v>3204698</v>
      </c>
      <c r="J106" s="17">
        <v>892873</v>
      </c>
      <c r="K106" s="18">
        <v>3006203</v>
      </c>
      <c r="L106" s="19">
        <v>373448</v>
      </c>
      <c r="M106" s="17">
        <v>3379651</v>
      </c>
      <c r="N106" s="10"/>
      <c r="O106" s="10"/>
      <c r="P106" s="44"/>
      <c r="Q106" s="44"/>
      <c r="R106" s="44"/>
      <c r="S106" s="45"/>
    </row>
    <row r="107" spans="1:19" ht="17.25" customHeight="1" x14ac:dyDescent="0.3">
      <c r="A107" s="39">
        <v>42614</v>
      </c>
      <c r="B107" s="20">
        <v>4088585</v>
      </c>
      <c r="C107" s="36">
        <v>374500</v>
      </c>
      <c r="D107" s="37">
        <v>423264</v>
      </c>
      <c r="E107" s="37">
        <v>145304</v>
      </c>
      <c r="F107" s="93">
        <v>143456</v>
      </c>
      <c r="G107" s="37">
        <v>4849</v>
      </c>
      <c r="H107" s="38">
        <v>2997212</v>
      </c>
      <c r="I107" s="21">
        <v>3196354</v>
      </c>
      <c r="J107" s="22">
        <v>892231</v>
      </c>
      <c r="K107" s="23">
        <v>2997212</v>
      </c>
      <c r="L107" s="24">
        <v>374205</v>
      </c>
      <c r="M107" s="22">
        <v>3371417</v>
      </c>
      <c r="N107" s="10"/>
      <c r="O107" s="10"/>
      <c r="P107" s="44"/>
      <c r="Q107" s="44"/>
      <c r="R107" s="44"/>
      <c r="S107" s="45"/>
    </row>
    <row r="108" spans="1:19" x14ac:dyDescent="0.3">
      <c r="A108" s="8">
        <v>42583</v>
      </c>
      <c r="B108" s="15">
        <v>4082810</v>
      </c>
      <c r="C108" s="34">
        <v>374788</v>
      </c>
      <c r="D108" s="10">
        <v>425775</v>
      </c>
      <c r="E108" s="10">
        <v>145188</v>
      </c>
      <c r="F108" s="92">
        <v>144180</v>
      </c>
      <c r="G108" s="10">
        <v>4898</v>
      </c>
      <c r="H108" s="35">
        <v>2987981</v>
      </c>
      <c r="I108" s="16">
        <v>3188877</v>
      </c>
      <c r="J108" s="17">
        <v>893933</v>
      </c>
      <c r="K108" s="18">
        <v>2987981</v>
      </c>
      <c r="L108" s="19">
        <v>372502</v>
      </c>
      <c r="M108" s="17">
        <v>3360483</v>
      </c>
      <c r="N108" s="10"/>
      <c r="O108" s="10"/>
      <c r="P108" s="44"/>
      <c r="Q108" s="44"/>
      <c r="R108" s="44"/>
      <c r="S108" s="45"/>
    </row>
    <row r="109" spans="1:19" x14ac:dyDescent="0.3">
      <c r="A109" s="8">
        <v>42552</v>
      </c>
      <c r="B109" s="15">
        <v>4051664</v>
      </c>
      <c r="C109" s="34">
        <v>374250</v>
      </c>
      <c r="D109" s="10">
        <v>425231</v>
      </c>
      <c r="E109" s="10">
        <v>142429</v>
      </c>
      <c r="F109" s="92">
        <v>142517</v>
      </c>
      <c r="G109" s="10">
        <v>4872</v>
      </c>
      <c r="H109" s="35">
        <v>2962365</v>
      </c>
      <c r="I109" s="16">
        <v>3163208</v>
      </c>
      <c r="J109" s="17">
        <v>888456</v>
      </c>
      <c r="K109" s="18">
        <v>2962365</v>
      </c>
      <c r="L109" s="19">
        <v>373546</v>
      </c>
      <c r="M109" s="17">
        <v>3335911</v>
      </c>
      <c r="N109" s="10"/>
      <c r="O109" s="10"/>
      <c r="P109" s="44"/>
      <c r="Q109" s="44"/>
      <c r="R109" s="44"/>
      <c r="S109" s="45"/>
    </row>
    <row r="110" spans="1:19" x14ac:dyDescent="0.3">
      <c r="A110" s="8">
        <v>42522</v>
      </c>
      <c r="B110" s="15">
        <v>4049303</v>
      </c>
      <c r="C110" s="34">
        <v>373917</v>
      </c>
      <c r="D110" s="10">
        <v>426466</v>
      </c>
      <c r="E110" s="10">
        <v>142029</v>
      </c>
      <c r="F110" s="92">
        <v>142124</v>
      </c>
      <c r="G110" s="10">
        <v>4854</v>
      </c>
      <c r="H110" s="35">
        <v>2959913</v>
      </c>
      <c r="I110" s="16">
        <v>3161858</v>
      </c>
      <c r="J110" s="17">
        <v>887445</v>
      </c>
      <c r="K110" s="18">
        <v>2959913</v>
      </c>
      <c r="L110" s="19">
        <v>374280</v>
      </c>
      <c r="M110" s="17">
        <v>3334193</v>
      </c>
      <c r="N110" s="10"/>
      <c r="O110" s="10"/>
      <c r="P110" s="44"/>
      <c r="Q110" s="44"/>
      <c r="R110" s="44"/>
      <c r="S110" s="45"/>
    </row>
    <row r="111" spans="1:19" ht="17.25" customHeight="1" x14ac:dyDescent="0.3">
      <c r="A111" s="8">
        <v>42491</v>
      </c>
      <c r="B111" s="15">
        <v>4048259</v>
      </c>
      <c r="C111" s="34">
        <v>373742</v>
      </c>
      <c r="D111" s="10">
        <v>427466</v>
      </c>
      <c r="E111" s="10">
        <v>143050</v>
      </c>
      <c r="F111" s="92">
        <v>141531</v>
      </c>
      <c r="G111" s="10">
        <v>4871</v>
      </c>
      <c r="H111" s="35">
        <v>2957599</v>
      </c>
      <c r="I111" s="16">
        <v>3159892</v>
      </c>
      <c r="J111" s="17">
        <v>888367</v>
      </c>
      <c r="K111" s="18">
        <v>2957599</v>
      </c>
      <c r="L111" s="19">
        <v>369028</v>
      </c>
      <c r="M111" s="17">
        <v>3326627</v>
      </c>
      <c r="N111" s="10"/>
      <c r="O111" s="10"/>
      <c r="P111" s="44"/>
      <c r="Q111" s="44"/>
      <c r="R111" s="44"/>
      <c r="S111" s="45"/>
    </row>
    <row r="112" spans="1:19" ht="17.25" customHeight="1" x14ac:dyDescent="0.3">
      <c r="A112" s="8">
        <v>42461</v>
      </c>
      <c r="B112" s="15">
        <v>4044611</v>
      </c>
      <c r="C112" s="34">
        <v>373892</v>
      </c>
      <c r="D112" s="10">
        <v>427405</v>
      </c>
      <c r="E112" s="10">
        <v>142062</v>
      </c>
      <c r="F112" s="92">
        <v>140153</v>
      </c>
      <c r="G112" s="10">
        <v>4846</v>
      </c>
      <c r="H112" s="35">
        <v>2956253</v>
      </c>
      <c r="I112" s="16">
        <v>3158366</v>
      </c>
      <c r="J112" s="17">
        <v>886245</v>
      </c>
      <c r="K112" s="18">
        <v>2956253</v>
      </c>
      <c r="L112" s="19">
        <v>367981</v>
      </c>
      <c r="M112" s="17">
        <v>3324234</v>
      </c>
      <c r="N112" s="10"/>
      <c r="O112" s="10"/>
      <c r="P112" s="44"/>
      <c r="Q112" s="44"/>
      <c r="R112" s="44"/>
      <c r="S112" s="45"/>
    </row>
    <row r="113" spans="1:19" ht="17.25" customHeight="1" x14ac:dyDescent="0.3">
      <c r="A113" s="8">
        <v>42430</v>
      </c>
      <c r="B113" s="15">
        <v>4063341</v>
      </c>
      <c r="C113" s="34">
        <v>374115</v>
      </c>
      <c r="D113" s="10">
        <v>428263</v>
      </c>
      <c r="E113" s="10">
        <v>142203</v>
      </c>
      <c r="F113" s="92">
        <v>139318</v>
      </c>
      <c r="G113" s="10">
        <v>4831</v>
      </c>
      <c r="H113" s="35">
        <v>2974611</v>
      </c>
      <c r="I113" s="16">
        <v>3177157</v>
      </c>
      <c r="J113" s="17">
        <v>886184</v>
      </c>
      <c r="K113" s="18">
        <v>2974611</v>
      </c>
      <c r="L113" s="19">
        <v>364485</v>
      </c>
      <c r="M113" s="17">
        <v>3339096</v>
      </c>
      <c r="N113" s="10"/>
      <c r="O113" s="10"/>
      <c r="P113" s="44"/>
      <c r="Q113" s="44"/>
      <c r="R113" s="44"/>
      <c r="S113" s="45"/>
    </row>
    <row r="114" spans="1:19" ht="17.25" customHeight="1" x14ac:dyDescent="0.3">
      <c r="A114" s="8">
        <v>42401</v>
      </c>
      <c r="B114" s="15">
        <v>4075784</v>
      </c>
      <c r="C114" s="34">
        <v>374301</v>
      </c>
      <c r="D114" s="10">
        <v>428772</v>
      </c>
      <c r="E114" s="10">
        <v>142737</v>
      </c>
      <c r="F114" s="92">
        <v>138486</v>
      </c>
      <c r="G114" s="10">
        <v>4832</v>
      </c>
      <c r="H114" s="35">
        <v>2986656</v>
      </c>
      <c r="I114" s="16">
        <v>3189210</v>
      </c>
      <c r="J114" s="17">
        <v>886574</v>
      </c>
      <c r="K114" s="18">
        <v>2986656</v>
      </c>
      <c r="L114" s="19">
        <v>352987</v>
      </c>
      <c r="M114" s="17">
        <v>3339643</v>
      </c>
      <c r="N114" s="10"/>
      <c r="O114" s="10"/>
      <c r="P114" s="44"/>
      <c r="Q114" s="44"/>
      <c r="R114" s="44"/>
      <c r="S114" s="45"/>
    </row>
    <row r="115" spans="1:19" ht="17.25" customHeight="1" x14ac:dyDescent="0.3">
      <c r="A115" s="8">
        <v>42370</v>
      </c>
      <c r="B115" s="15">
        <v>4069903</v>
      </c>
      <c r="C115" s="34">
        <v>373877</v>
      </c>
      <c r="D115" s="10">
        <v>427424</v>
      </c>
      <c r="E115" s="10">
        <v>141742</v>
      </c>
      <c r="F115" s="92">
        <v>138204</v>
      </c>
      <c r="G115" s="10">
        <v>4828</v>
      </c>
      <c r="H115" s="35">
        <v>2983828</v>
      </c>
      <c r="I115" s="16">
        <v>3185629</v>
      </c>
      <c r="J115" s="17">
        <v>884274</v>
      </c>
      <c r="K115" s="18">
        <v>2983828</v>
      </c>
      <c r="L115" s="19">
        <v>350884</v>
      </c>
      <c r="M115" s="17">
        <v>3334712</v>
      </c>
      <c r="N115" s="10"/>
      <c r="O115" s="10"/>
      <c r="P115" s="44"/>
      <c r="Q115" s="44"/>
      <c r="R115" s="44"/>
      <c r="S115" s="45"/>
    </row>
    <row r="116" spans="1:19" x14ac:dyDescent="0.3">
      <c r="A116" s="8">
        <v>42339</v>
      </c>
      <c r="B116" s="15">
        <v>4059119</v>
      </c>
      <c r="C116" s="34">
        <v>371584</v>
      </c>
      <c r="D116" s="10">
        <v>427353</v>
      </c>
      <c r="E116" s="10">
        <v>140084</v>
      </c>
      <c r="F116" s="92">
        <v>136979</v>
      </c>
      <c r="G116" s="10">
        <v>4818</v>
      </c>
      <c r="H116" s="35">
        <v>2978301</v>
      </c>
      <c r="I116" s="16">
        <v>3180211</v>
      </c>
      <c r="J116" s="17">
        <v>878908</v>
      </c>
      <c r="K116" s="18">
        <v>2978301</v>
      </c>
      <c r="L116" s="19">
        <v>352623</v>
      </c>
      <c r="M116" s="17">
        <v>3330924</v>
      </c>
      <c r="N116" s="10"/>
      <c r="O116" s="10"/>
      <c r="P116" s="44"/>
      <c r="Q116" s="44"/>
      <c r="R116" s="44"/>
      <c r="S116" s="45"/>
    </row>
    <row r="117" spans="1:19" ht="17.25" customHeight="1" x14ac:dyDescent="0.3">
      <c r="A117" s="8">
        <v>42309</v>
      </c>
      <c r="B117" s="15">
        <v>4068546</v>
      </c>
      <c r="C117" s="34">
        <v>374550</v>
      </c>
      <c r="D117" s="10">
        <v>428536</v>
      </c>
      <c r="E117" s="10">
        <v>142115</v>
      </c>
      <c r="F117" s="92">
        <v>137974</v>
      </c>
      <c r="G117" s="10">
        <v>4815</v>
      </c>
      <c r="H117" s="35">
        <v>2980556</v>
      </c>
      <c r="I117" s="16">
        <v>3183480</v>
      </c>
      <c r="J117" s="17">
        <v>885066</v>
      </c>
      <c r="K117" s="18">
        <v>2980556</v>
      </c>
      <c r="L117" s="19">
        <v>350141</v>
      </c>
      <c r="M117" s="17">
        <v>3330697</v>
      </c>
      <c r="N117" s="10"/>
      <c r="O117" s="10"/>
      <c r="P117" s="44"/>
      <c r="Q117" s="44"/>
      <c r="R117" s="44"/>
      <c r="S117" s="45"/>
    </row>
    <row r="118" spans="1:19" ht="17.25" customHeight="1" x14ac:dyDescent="0.3">
      <c r="A118" s="8">
        <v>42278</v>
      </c>
      <c r="B118" s="15">
        <v>4060608</v>
      </c>
      <c r="C118" s="34">
        <v>374290</v>
      </c>
      <c r="D118" s="10">
        <v>427475</v>
      </c>
      <c r="E118" s="10">
        <v>142605</v>
      </c>
      <c r="F118" s="92">
        <v>140811</v>
      </c>
      <c r="G118" s="10">
        <v>4824</v>
      </c>
      <c r="H118" s="35">
        <v>2970603</v>
      </c>
      <c r="I118" s="16">
        <v>3173663</v>
      </c>
      <c r="J118" s="17">
        <v>886945</v>
      </c>
      <c r="K118" s="18">
        <v>2970603</v>
      </c>
      <c r="L118" s="19">
        <v>351848</v>
      </c>
      <c r="M118" s="17">
        <v>3322451</v>
      </c>
      <c r="N118" s="10"/>
      <c r="O118" s="10"/>
      <c r="P118" s="44"/>
      <c r="Q118" s="44"/>
      <c r="R118" s="44"/>
      <c r="S118" s="45"/>
    </row>
    <row r="119" spans="1:19" ht="17.25" customHeight="1" x14ac:dyDescent="0.3">
      <c r="A119" s="39">
        <v>42248</v>
      </c>
      <c r="B119" s="20">
        <v>4052816</v>
      </c>
      <c r="C119" s="36">
        <v>373890</v>
      </c>
      <c r="D119" s="37">
        <v>428768</v>
      </c>
      <c r="E119" s="37">
        <v>142367</v>
      </c>
      <c r="F119" s="93">
        <v>142541</v>
      </c>
      <c r="G119" s="37">
        <v>4798</v>
      </c>
      <c r="H119" s="38">
        <v>2960452</v>
      </c>
      <c r="I119" s="21">
        <v>3165066</v>
      </c>
      <c r="J119" s="22">
        <v>887750</v>
      </c>
      <c r="K119" s="23">
        <v>2960452</v>
      </c>
      <c r="L119" s="24">
        <v>349149</v>
      </c>
      <c r="M119" s="22">
        <v>3309601</v>
      </c>
      <c r="N119" s="10"/>
      <c r="O119" s="10"/>
      <c r="P119" s="44"/>
      <c r="Q119" s="44"/>
      <c r="R119" s="44"/>
      <c r="S119" s="45"/>
    </row>
    <row r="120" spans="1:19" x14ac:dyDescent="0.3">
      <c r="A120" s="8">
        <v>42217</v>
      </c>
      <c r="B120" s="15">
        <v>4044330</v>
      </c>
      <c r="C120" s="34">
        <v>374039</v>
      </c>
      <c r="D120" s="10">
        <v>428644</v>
      </c>
      <c r="E120" s="10">
        <v>143536</v>
      </c>
      <c r="F120" s="92">
        <v>143338</v>
      </c>
      <c r="G120" s="10">
        <v>4822</v>
      </c>
      <c r="H120" s="35">
        <v>2949951</v>
      </c>
      <c r="I120" s="16">
        <v>3154826</v>
      </c>
      <c r="J120" s="17">
        <v>889504</v>
      </c>
      <c r="K120" s="18">
        <v>2949951</v>
      </c>
      <c r="L120" s="19">
        <v>342558</v>
      </c>
      <c r="M120" s="17">
        <v>3292509</v>
      </c>
      <c r="N120" s="10"/>
      <c r="O120" s="10"/>
      <c r="P120" s="44"/>
      <c r="Q120" s="44"/>
      <c r="R120" s="44"/>
      <c r="S120" s="45"/>
    </row>
    <row r="121" spans="1:19" ht="17.25" customHeight="1" x14ac:dyDescent="0.3">
      <c r="A121" s="8">
        <v>42186</v>
      </c>
      <c r="B121" s="15">
        <v>4029442</v>
      </c>
      <c r="C121" s="34">
        <v>374048</v>
      </c>
      <c r="D121" s="10">
        <v>427253</v>
      </c>
      <c r="E121" s="10">
        <v>142908</v>
      </c>
      <c r="F121" s="92">
        <v>143063</v>
      </c>
      <c r="G121" s="10">
        <v>4805</v>
      </c>
      <c r="H121" s="35">
        <v>2937365</v>
      </c>
      <c r="I121" s="16">
        <v>3141460</v>
      </c>
      <c r="J121" s="17">
        <v>887982</v>
      </c>
      <c r="K121" s="18">
        <v>2937365</v>
      </c>
      <c r="L121" s="19">
        <v>337342</v>
      </c>
      <c r="M121" s="17">
        <v>3274707</v>
      </c>
      <c r="N121" s="10"/>
      <c r="O121" s="10"/>
      <c r="P121" s="44"/>
      <c r="Q121" s="44"/>
      <c r="R121" s="44"/>
      <c r="S121" s="45"/>
    </row>
    <row r="122" spans="1:19" ht="17.25" customHeight="1" x14ac:dyDescent="0.3">
      <c r="A122" s="8">
        <v>42156</v>
      </c>
      <c r="B122" s="15">
        <v>4030139</v>
      </c>
      <c r="C122" s="34">
        <v>373713</v>
      </c>
      <c r="D122" s="10">
        <v>429075</v>
      </c>
      <c r="E122" s="10">
        <v>143721</v>
      </c>
      <c r="F122" s="92">
        <v>141745</v>
      </c>
      <c r="G122" s="10">
        <v>4805</v>
      </c>
      <c r="H122" s="35">
        <v>2937080</v>
      </c>
      <c r="I122" s="16">
        <v>3142016</v>
      </c>
      <c r="J122" s="17">
        <v>888123</v>
      </c>
      <c r="K122" s="18">
        <v>2937080</v>
      </c>
      <c r="L122" s="19">
        <v>333451</v>
      </c>
      <c r="M122" s="17">
        <v>3270531</v>
      </c>
      <c r="N122" s="10"/>
      <c r="O122" s="10"/>
      <c r="P122" s="44"/>
      <c r="Q122" s="44"/>
      <c r="R122" s="44"/>
      <c r="S122" s="45"/>
    </row>
    <row r="123" spans="1:19" x14ac:dyDescent="0.3">
      <c r="A123" s="8">
        <v>42125</v>
      </c>
      <c r="B123" s="15">
        <v>4031218</v>
      </c>
      <c r="C123" s="34">
        <v>372760</v>
      </c>
      <c r="D123" s="10">
        <v>428053</v>
      </c>
      <c r="E123" s="10">
        <v>144820</v>
      </c>
      <c r="F123" s="92">
        <v>140787</v>
      </c>
      <c r="G123" s="10">
        <v>4816</v>
      </c>
      <c r="H123" s="35">
        <v>2939982</v>
      </c>
      <c r="I123" s="16">
        <v>3144119</v>
      </c>
      <c r="J123" s="17">
        <v>887099</v>
      </c>
      <c r="K123" s="18">
        <v>2939982</v>
      </c>
      <c r="L123" s="19">
        <v>329804</v>
      </c>
      <c r="M123" s="17">
        <v>3269786</v>
      </c>
      <c r="N123" s="10"/>
      <c r="O123" s="10"/>
      <c r="P123" s="44"/>
      <c r="Q123" s="44"/>
      <c r="R123" s="44"/>
      <c r="S123" s="45"/>
    </row>
    <row r="124" spans="1:19" x14ac:dyDescent="0.3">
      <c r="A124" s="8">
        <v>42095</v>
      </c>
      <c r="B124" s="15">
        <v>4047295</v>
      </c>
      <c r="C124" s="34">
        <v>372801</v>
      </c>
      <c r="D124" s="10">
        <v>427661</v>
      </c>
      <c r="E124" s="10">
        <v>146536</v>
      </c>
      <c r="F124" s="92">
        <v>140169</v>
      </c>
      <c r="G124" s="10">
        <v>4789</v>
      </c>
      <c r="H124" s="35">
        <v>2955339</v>
      </c>
      <c r="I124" s="16">
        <v>3159469</v>
      </c>
      <c r="J124" s="17">
        <v>887826</v>
      </c>
      <c r="K124" s="18">
        <v>2955339</v>
      </c>
      <c r="L124" s="19">
        <v>332749</v>
      </c>
      <c r="M124" s="17">
        <v>3288088</v>
      </c>
      <c r="N124" s="10"/>
      <c r="O124" s="10"/>
      <c r="P124" s="44"/>
      <c r="Q124" s="44"/>
      <c r="R124" s="44"/>
      <c r="S124" s="45"/>
    </row>
    <row r="125" spans="1:19" x14ac:dyDescent="0.3">
      <c r="A125" s="8">
        <v>42064</v>
      </c>
      <c r="B125" s="15">
        <v>4075897</v>
      </c>
      <c r="C125" s="34">
        <v>372984</v>
      </c>
      <c r="D125" s="10">
        <v>427204</v>
      </c>
      <c r="E125" s="10">
        <v>148945</v>
      </c>
      <c r="F125" s="92">
        <v>139788</v>
      </c>
      <c r="G125" s="10">
        <v>4805</v>
      </c>
      <c r="H125" s="35">
        <v>2982171</v>
      </c>
      <c r="I125" s="16">
        <v>3186147</v>
      </c>
      <c r="J125" s="17">
        <v>889750</v>
      </c>
      <c r="K125" s="18">
        <v>2982171</v>
      </c>
      <c r="L125" s="19">
        <v>332087</v>
      </c>
      <c r="M125" s="17">
        <v>3314258</v>
      </c>
      <c r="N125" s="10"/>
      <c r="O125" s="10"/>
      <c r="P125" s="44"/>
      <c r="Q125" s="44"/>
      <c r="R125" s="44"/>
      <c r="S125" s="45"/>
    </row>
    <row r="126" spans="1:19" x14ac:dyDescent="0.3">
      <c r="A126" s="8">
        <v>42036</v>
      </c>
      <c r="B126" s="15">
        <v>4087084</v>
      </c>
      <c r="C126" s="34">
        <v>374037</v>
      </c>
      <c r="D126" s="10">
        <v>427063</v>
      </c>
      <c r="E126" s="10">
        <v>149308</v>
      </c>
      <c r="F126" s="92">
        <v>139821</v>
      </c>
      <c r="G126" s="10">
        <v>5514</v>
      </c>
      <c r="H126" s="35">
        <v>2991341</v>
      </c>
      <c r="I126" s="16">
        <v>3195273</v>
      </c>
      <c r="J126" s="17">
        <v>891811</v>
      </c>
      <c r="K126" s="18">
        <v>2991341</v>
      </c>
      <c r="L126" s="19">
        <v>324225</v>
      </c>
      <c r="M126" s="17">
        <v>3315566</v>
      </c>
      <c r="N126" s="10"/>
      <c r="O126" s="10"/>
      <c r="P126" s="44"/>
      <c r="Q126" s="44"/>
      <c r="R126" s="44"/>
      <c r="S126" s="45"/>
    </row>
    <row r="127" spans="1:19" ht="17.25" customHeight="1" x14ac:dyDescent="0.3">
      <c r="A127" s="8">
        <v>42005</v>
      </c>
      <c r="B127" s="15">
        <v>4083944</v>
      </c>
      <c r="C127" s="34">
        <v>374684</v>
      </c>
      <c r="D127" s="10">
        <v>425847</v>
      </c>
      <c r="E127" s="10">
        <v>149033</v>
      </c>
      <c r="F127" s="92">
        <v>140224</v>
      </c>
      <c r="G127" s="10">
        <v>5446</v>
      </c>
      <c r="H127" s="35">
        <v>2988710</v>
      </c>
      <c r="I127" s="16">
        <v>3191678</v>
      </c>
      <c r="J127" s="17">
        <v>892266</v>
      </c>
      <c r="K127" s="18">
        <v>2988710</v>
      </c>
      <c r="L127" s="19">
        <v>328842</v>
      </c>
      <c r="M127" s="17">
        <v>3317552</v>
      </c>
      <c r="N127" s="10"/>
      <c r="O127" s="10"/>
      <c r="P127" s="44"/>
      <c r="Q127" s="44"/>
      <c r="R127" s="44"/>
      <c r="S127" s="45"/>
    </row>
    <row r="128" spans="1:19" x14ac:dyDescent="0.3">
      <c r="A128" s="8">
        <v>41974</v>
      </c>
      <c r="B128" s="15">
        <v>4085273</v>
      </c>
      <c r="C128" s="34">
        <v>372860</v>
      </c>
      <c r="D128" s="10">
        <v>425280</v>
      </c>
      <c r="E128" s="10">
        <v>149036</v>
      </c>
      <c r="F128" s="92">
        <v>138869</v>
      </c>
      <c r="G128" s="10">
        <v>5419</v>
      </c>
      <c r="H128" s="35">
        <v>2993809</v>
      </c>
      <c r="I128" s="16">
        <v>3197298</v>
      </c>
      <c r="J128" s="17">
        <v>887975</v>
      </c>
      <c r="K128" s="18">
        <v>2993809</v>
      </c>
      <c r="L128" s="19">
        <v>335120</v>
      </c>
      <c r="M128" s="17">
        <v>3328929</v>
      </c>
      <c r="N128" s="10"/>
      <c r="O128" s="10"/>
      <c r="P128" s="44"/>
      <c r="Q128" s="44"/>
      <c r="R128" s="44"/>
      <c r="S128" s="45"/>
    </row>
    <row r="129" spans="1:19" ht="17.25" customHeight="1" x14ac:dyDescent="0.3">
      <c r="A129" s="8">
        <v>41944</v>
      </c>
      <c r="B129" s="15">
        <v>4075634</v>
      </c>
      <c r="C129" s="34">
        <v>375965</v>
      </c>
      <c r="D129" s="10">
        <v>426094</v>
      </c>
      <c r="E129" s="10">
        <v>149039</v>
      </c>
      <c r="F129" s="92">
        <v>139928</v>
      </c>
      <c r="G129" s="10">
        <v>5356</v>
      </c>
      <c r="H129" s="35">
        <v>2979252</v>
      </c>
      <c r="I129" s="16">
        <v>3183563</v>
      </c>
      <c r="J129" s="17">
        <v>892071</v>
      </c>
      <c r="K129" s="18">
        <v>2979252</v>
      </c>
      <c r="L129" s="19">
        <v>344479</v>
      </c>
      <c r="M129" s="17">
        <v>3323731</v>
      </c>
      <c r="N129" s="10"/>
      <c r="O129" s="10"/>
      <c r="P129" s="44"/>
      <c r="Q129" s="44"/>
      <c r="R129" s="44"/>
      <c r="S129" s="45"/>
    </row>
    <row r="130" spans="1:19" ht="17.25" customHeight="1" x14ac:dyDescent="0.3">
      <c r="A130" s="8">
        <v>41913</v>
      </c>
      <c r="B130" s="15">
        <v>4069615</v>
      </c>
      <c r="C130" s="34">
        <v>375749</v>
      </c>
      <c r="D130" s="10">
        <v>425108</v>
      </c>
      <c r="E130" s="10">
        <v>149407</v>
      </c>
      <c r="F130" s="92">
        <v>143807</v>
      </c>
      <c r="G130" s="10">
        <v>5529</v>
      </c>
      <c r="H130" s="35">
        <v>2970015</v>
      </c>
      <c r="I130" s="16">
        <v>3174686</v>
      </c>
      <c r="J130" s="17">
        <v>894929</v>
      </c>
      <c r="K130" s="18">
        <v>2970015</v>
      </c>
      <c r="L130" s="19">
        <v>358881</v>
      </c>
      <c r="M130" s="17">
        <v>3328896</v>
      </c>
      <c r="N130" s="10"/>
      <c r="O130" s="10"/>
      <c r="P130" s="44"/>
      <c r="Q130" s="44"/>
      <c r="R130" s="44"/>
      <c r="S130" s="45"/>
    </row>
    <row r="131" spans="1:19" ht="15" thickBot="1" x14ac:dyDescent="0.35">
      <c r="A131" s="64">
        <v>41883</v>
      </c>
      <c r="B131" s="65">
        <v>4020549</v>
      </c>
      <c r="C131" s="66">
        <v>375615</v>
      </c>
      <c r="D131" s="67">
        <v>426391</v>
      </c>
      <c r="E131" s="67">
        <v>147509</v>
      </c>
      <c r="F131" s="95">
        <v>144854</v>
      </c>
      <c r="G131" s="67">
        <v>5523</v>
      </c>
      <c r="H131" s="68">
        <v>2920657</v>
      </c>
      <c r="I131" s="69">
        <v>3127009</v>
      </c>
      <c r="J131" s="70">
        <v>893540</v>
      </c>
      <c r="K131" s="71">
        <v>2920657</v>
      </c>
      <c r="L131" s="72">
        <v>378439</v>
      </c>
      <c r="M131" s="70">
        <v>3299096</v>
      </c>
      <c r="N131" s="10"/>
      <c r="O131" s="10"/>
      <c r="P131" s="44"/>
      <c r="Q131" s="44"/>
      <c r="R131" s="44"/>
      <c r="S131" s="45"/>
    </row>
    <row r="132" spans="1:19" x14ac:dyDescent="0.3">
      <c r="A132" s="2"/>
      <c r="B132" s="28"/>
      <c r="C132" s="3"/>
      <c r="D132" s="3"/>
      <c r="E132" s="3"/>
      <c r="F132" s="96"/>
      <c r="G132" s="3"/>
      <c r="H132" s="3"/>
      <c r="I132" s="3"/>
      <c r="J132" s="3"/>
      <c r="K132" s="3"/>
      <c r="L132" s="3"/>
      <c r="M132" s="4"/>
      <c r="N132" s="3"/>
      <c r="O132" s="3"/>
      <c r="P132" s="77"/>
    </row>
    <row r="133" spans="1:19" x14ac:dyDescent="0.3">
      <c r="A133" s="2"/>
      <c r="B133" s="28"/>
      <c r="C133" s="3"/>
      <c r="D133" s="3"/>
      <c r="E133" s="3"/>
      <c r="F133" s="96"/>
      <c r="G133" s="3"/>
      <c r="H133" s="3"/>
      <c r="I133" s="3"/>
      <c r="J133" s="3"/>
      <c r="K133" s="3"/>
      <c r="L133" s="3"/>
      <c r="M133" s="4"/>
      <c r="N133" s="3"/>
      <c r="O133" s="3"/>
      <c r="P133" s="77"/>
    </row>
    <row r="134" spans="1:19" x14ac:dyDescent="0.3">
      <c r="A134" s="25" t="s">
        <v>18</v>
      </c>
      <c r="B134" s="28"/>
      <c r="C134" s="3"/>
      <c r="D134" s="3"/>
      <c r="E134" s="3"/>
      <c r="F134" s="96"/>
      <c r="G134" s="3"/>
      <c r="H134" s="3"/>
      <c r="I134" s="3"/>
      <c r="J134" s="3"/>
      <c r="K134" s="3"/>
      <c r="L134" s="3"/>
      <c r="M134" s="4"/>
      <c r="N134" s="3"/>
      <c r="O134" s="3"/>
    </row>
    <row r="135" spans="1:19" x14ac:dyDescent="0.3">
      <c r="A135" s="26" t="s">
        <v>12</v>
      </c>
      <c r="B135" s="28"/>
      <c r="C135" s="3"/>
      <c r="D135" s="3"/>
      <c r="E135" s="3"/>
      <c r="F135" s="96"/>
      <c r="G135" s="3"/>
      <c r="H135" s="3"/>
      <c r="I135" s="3"/>
      <c r="J135" s="3"/>
      <c r="K135" s="3"/>
      <c r="L135" s="3"/>
      <c r="M135" s="4"/>
      <c r="N135" s="3"/>
      <c r="O135" s="3"/>
    </row>
    <row r="136" spans="1:19" x14ac:dyDescent="0.3">
      <c r="A136" s="26" t="s">
        <v>11</v>
      </c>
      <c r="B136" s="28"/>
      <c r="C136" s="3"/>
      <c r="D136" s="3"/>
      <c r="E136" s="3"/>
      <c r="F136" s="96"/>
      <c r="G136" s="3"/>
      <c r="H136" s="3"/>
      <c r="I136" s="3"/>
      <c r="J136" s="3"/>
      <c r="K136" s="3"/>
      <c r="L136" s="3"/>
      <c r="M136" s="4"/>
      <c r="N136" s="3"/>
      <c r="O136" s="3"/>
    </row>
    <row r="137" spans="1:19" x14ac:dyDescent="0.3">
      <c r="A137" s="26" t="s">
        <v>19</v>
      </c>
      <c r="B137" s="28"/>
      <c r="C137" s="3"/>
      <c r="D137" s="3"/>
      <c r="E137" s="3"/>
      <c r="F137" s="96"/>
      <c r="G137" s="3"/>
      <c r="H137" s="3"/>
      <c r="I137" s="3"/>
      <c r="J137" s="3"/>
      <c r="K137" s="3"/>
      <c r="L137" s="3"/>
      <c r="M137" s="4"/>
      <c r="N137" s="3"/>
      <c r="O137" s="3"/>
    </row>
    <row r="138" spans="1:19" x14ac:dyDescent="0.3">
      <c r="A138" s="26" t="s">
        <v>20</v>
      </c>
      <c r="B138" s="28"/>
      <c r="C138" s="3"/>
      <c r="D138" s="3"/>
      <c r="E138" s="3"/>
      <c r="F138" s="96"/>
      <c r="G138" s="3"/>
      <c r="H138" s="3"/>
      <c r="I138" s="3"/>
      <c r="J138" s="3"/>
      <c r="K138" s="3"/>
      <c r="L138" s="3"/>
      <c r="M138" s="4"/>
      <c r="N138" s="3"/>
      <c r="O138" s="3"/>
    </row>
    <row r="139" spans="1:19" x14ac:dyDescent="0.3">
      <c r="A139" s="26" t="s">
        <v>15</v>
      </c>
      <c r="B139" s="28"/>
      <c r="C139" s="3"/>
      <c r="D139" s="3"/>
      <c r="E139" s="3"/>
      <c r="F139" s="96"/>
      <c r="G139" s="3"/>
      <c r="H139" s="3"/>
      <c r="I139" s="3"/>
      <c r="J139" s="3"/>
      <c r="K139" s="3"/>
      <c r="L139" s="3"/>
      <c r="M139" s="4"/>
      <c r="N139" s="3"/>
      <c r="O139" s="3"/>
    </row>
    <row r="140" spans="1:19" ht="15" thickBot="1" x14ac:dyDescent="0.35">
      <c r="A140" s="27" t="s">
        <v>22</v>
      </c>
      <c r="B140" s="29"/>
      <c r="C140" s="5"/>
      <c r="D140" s="5"/>
      <c r="E140" s="5"/>
      <c r="F140" s="97"/>
      <c r="G140" s="5"/>
      <c r="H140" s="5"/>
      <c r="I140" s="5"/>
      <c r="J140" s="5"/>
      <c r="K140" s="5"/>
      <c r="L140" s="5"/>
      <c r="M140" s="6"/>
      <c r="N140" s="3"/>
      <c r="O140" s="3"/>
    </row>
  </sheetData>
  <mergeCells count="4">
    <mergeCell ref="K2:M2"/>
    <mergeCell ref="A1:M1"/>
    <mergeCell ref="C2:H2"/>
    <mergeCell ref="I2:J2"/>
  </mergeCells>
  <pageMargins left="0.7" right="0.7" top="0.75" bottom="0.75" header="0.3" footer="0.3"/>
  <pageSetup fitToHeight="0" orientation="portrait" r:id="rId1"/>
  <headerFooter>
    <oddFooter>&amp;L&amp;"Arial,Italic"Updated June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Caseload by RG</vt:lpstr>
      <vt:lpstr>Aged_and_Medicare_Related</vt:lpstr>
      <vt:lpstr>Breast_and_Cervical_Cancer</vt:lpstr>
      <vt:lpstr>Childrens_Medicaid</vt:lpstr>
      <vt:lpstr>Disability_Related</vt:lpstr>
      <vt:lpstr>Incomplete_Data</vt:lpstr>
      <vt:lpstr>Medicaid_Caseload</vt:lpstr>
      <vt:lpstr>Medicaid_Clients_21_and_Older</vt:lpstr>
      <vt:lpstr>Medicaid_Clients_Under_21</vt:lpstr>
      <vt:lpstr>Notes</vt:lpstr>
      <vt:lpstr>Parents</vt:lpstr>
      <vt:lpstr>Pregnant_Women</vt:lpstr>
      <vt:lpstr>'Caseload by RG'!Print_Area</vt:lpstr>
      <vt:lpstr>Regular_CHIP</vt:lpstr>
      <vt:lpstr>Total_CHIP_and_Childrens_Medicaid</vt:lpstr>
    </vt:vector>
  </TitlesOfParts>
  <Company>HHSC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Monthly Enrollment by Risk Group, April 2025</dc:title>
  <dc:creator>Texas Health and Human Services Commission</dc:creator>
  <cp:lastModifiedBy>Wozny, Joseph</cp:lastModifiedBy>
  <cp:lastPrinted>2019-12-18T17:06:53Z</cp:lastPrinted>
  <dcterms:created xsi:type="dcterms:W3CDTF">2014-09-03T15:50:52Z</dcterms:created>
  <dcterms:modified xsi:type="dcterms:W3CDTF">2025-10-20T19:38:09Z</dcterms:modified>
</cp:coreProperties>
</file>